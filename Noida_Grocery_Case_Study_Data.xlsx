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:\Multi-Compartment Vehicle Routing Problems\Paper 7 - Multi-Compartment Electric Vehicle Routing Problem with Non-Linear Battery Consumption and Non-Linear Charging Time\CAIE - Revision\Case data\"/>
    </mc:Choice>
  </mc:AlternateContent>
  <xr:revisionPtr revIDLastSave="0" documentId="13_ncr:1_{3CAEAB97-6176-4C96-BB43-C0A29A2B3567}" xr6:coauthVersionLast="47" xr6:coauthVersionMax="47" xr10:uidLastSave="{00000000-0000-0000-0000-000000000000}"/>
  <bookViews>
    <workbookView xWindow="-120" yWindow="-120" windowWidth="24240" windowHeight="13140" activeTab="5" xr2:uid="{00000000-000D-0000-FFFF-FFFF00000000}"/>
  </bookViews>
  <sheets>
    <sheet name="Locations" sheetId="2" r:id="rId1"/>
    <sheet name="Customer Demand" sheetId="3" r:id="rId2"/>
    <sheet name="Road Arcs" sheetId="4" r:id="rId3"/>
    <sheet name="Model Inputs" sheetId="5" r:id="rId4"/>
    <sheet name="Charging Curve" sheetId="6" r:id="rId5"/>
    <sheet name="Sensitivity Result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6" l="1"/>
  <c r="F17" i="6" s="1"/>
  <c r="D17" i="6"/>
  <c r="E16" i="6"/>
  <c r="F16" i="6" s="1"/>
  <c r="D16" i="6"/>
  <c r="E15" i="6"/>
  <c r="F15" i="6" s="1"/>
  <c r="D15" i="6"/>
  <c r="E14" i="6"/>
  <c r="F14" i="6" s="1"/>
  <c r="D14" i="6"/>
  <c r="E13" i="6"/>
  <c r="F13" i="6" s="1"/>
  <c r="D13" i="6"/>
  <c r="E12" i="6"/>
  <c r="F12" i="6" s="1"/>
  <c r="D12" i="6"/>
  <c r="E11" i="6"/>
  <c r="F11" i="6" s="1"/>
  <c r="D11" i="6"/>
  <c r="E10" i="6"/>
  <c r="F10" i="6" s="1"/>
  <c r="D10" i="6"/>
  <c r="E9" i="6"/>
  <c r="F9" i="6" s="1"/>
  <c r="D9" i="6"/>
  <c r="E8" i="6"/>
  <c r="F8" i="6" s="1"/>
  <c r="D8" i="6"/>
  <c r="E7" i="6"/>
  <c r="F7" i="6" s="1"/>
  <c r="D7" i="6"/>
  <c r="E6" i="6"/>
  <c r="F6" i="6" s="1"/>
  <c r="D6" i="6"/>
  <c r="E5" i="6"/>
  <c r="F5" i="6" s="1"/>
  <c r="D5" i="6"/>
  <c r="E4" i="6"/>
  <c r="F4" i="6" s="1"/>
  <c r="D4" i="6"/>
  <c r="E3" i="6"/>
  <c r="F3" i="6" s="1"/>
  <c r="D3" i="6"/>
  <c r="E2" i="6"/>
  <c r="F2" i="6" s="1"/>
  <c r="D2" i="6"/>
  <c r="G601" i="4"/>
  <c r="F601" i="4"/>
  <c r="E601" i="4"/>
  <c r="G600" i="4"/>
  <c r="F600" i="4"/>
  <c r="E600" i="4"/>
  <c r="G599" i="4"/>
  <c r="F599" i="4"/>
  <c r="E599" i="4"/>
  <c r="G598" i="4"/>
  <c r="F598" i="4"/>
  <c r="E598" i="4"/>
  <c r="G597" i="4"/>
  <c r="F597" i="4"/>
  <c r="E597" i="4"/>
  <c r="G596" i="4"/>
  <c r="F596" i="4"/>
  <c r="E596" i="4"/>
  <c r="G595" i="4"/>
  <c r="F595" i="4"/>
  <c r="E595" i="4"/>
  <c r="G594" i="4"/>
  <c r="F594" i="4"/>
  <c r="E594" i="4"/>
  <c r="G593" i="4"/>
  <c r="F593" i="4"/>
  <c r="E593" i="4"/>
  <c r="G592" i="4"/>
  <c r="F592" i="4"/>
  <c r="E592" i="4"/>
  <c r="G591" i="4"/>
  <c r="F591" i="4"/>
  <c r="E591" i="4"/>
  <c r="G590" i="4"/>
  <c r="F590" i="4"/>
  <c r="E590" i="4"/>
  <c r="G589" i="4"/>
  <c r="F589" i="4"/>
  <c r="E589" i="4"/>
  <c r="G588" i="4"/>
  <c r="F588" i="4"/>
  <c r="E588" i="4"/>
  <c r="G587" i="4"/>
  <c r="F587" i="4"/>
  <c r="E587" i="4"/>
  <c r="G586" i="4"/>
  <c r="F586" i="4"/>
  <c r="E586" i="4"/>
  <c r="G585" i="4"/>
  <c r="F585" i="4"/>
  <c r="E585" i="4"/>
  <c r="G584" i="4"/>
  <c r="F584" i="4"/>
  <c r="E584" i="4"/>
  <c r="G583" i="4"/>
  <c r="F583" i="4"/>
  <c r="E583" i="4"/>
  <c r="G582" i="4"/>
  <c r="F582" i="4"/>
  <c r="E582" i="4"/>
  <c r="G581" i="4"/>
  <c r="F581" i="4"/>
  <c r="E581" i="4"/>
  <c r="G580" i="4"/>
  <c r="F580" i="4"/>
  <c r="E580" i="4"/>
  <c r="G579" i="4"/>
  <c r="F579" i="4"/>
  <c r="E579" i="4"/>
  <c r="G578" i="4"/>
  <c r="F578" i="4"/>
  <c r="E578" i="4"/>
  <c r="G577" i="4"/>
  <c r="F577" i="4"/>
  <c r="E577" i="4"/>
  <c r="G576" i="4"/>
  <c r="F576" i="4"/>
  <c r="E576" i="4"/>
  <c r="G575" i="4"/>
  <c r="F575" i="4"/>
  <c r="E575" i="4"/>
  <c r="G574" i="4"/>
  <c r="F574" i="4"/>
  <c r="E574" i="4"/>
  <c r="G573" i="4"/>
  <c r="F573" i="4"/>
  <c r="E573" i="4"/>
  <c r="G572" i="4"/>
  <c r="F572" i="4"/>
  <c r="E572" i="4"/>
  <c r="G571" i="4"/>
  <c r="F571" i="4"/>
  <c r="E571" i="4"/>
  <c r="G570" i="4"/>
  <c r="F570" i="4"/>
  <c r="E570" i="4"/>
  <c r="G569" i="4"/>
  <c r="F569" i="4"/>
  <c r="E569" i="4"/>
  <c r="G568" i="4"/>
  <c r="F568" i="4"/>
  <c r="E568" i="4"/>
  <c r="G567" i="4"/>
  <c r="F567" i="4"/>
  <c r="E567" i="4"/>
  <c r="G566" i="4"/>
  <c r="F566" i="4"/>
  <c r="E566" i="4"/>
  <c r="G565" i="4"/>
  <c r="F565" i="4"/>
  <c r="E565" i="4"/>
  <c r="G564" i="4"/>
  <c r="F564" i="4"/>
  <c r="E564" i="4"/>
  <c r="G563" i="4"/>
  <c r="F563" i="4"/>
  <c r="E563" i="4"/>
  <c r="G562" i="4"/>
  <c r="F562" i="4"/>
  <c r="E562" i="4"/>
  <c r="G561" i="4"/>
  <c r="F561" i="4"/>
  <c r="E561" i="4"/>
  <c r="G560" i="4"/>
  <c r="F560" i="4"/>
  <c r="E560" i="4"/>
  <c r="G559" i="4"/>
  <c r="F559" i="4"/>
  <c r="E559" i="4"/>
  <c r="G558" i="4"/>
  <c r="F558" i="4"/>
  <c r="E558" i="4"/>
  <c r="G557" i="4"/>
  <c r="F557" i="4"/>
  <c r="E557" i="4"/>
  <c r="G556" i="4"/>
  <c r="F556" i="4"/>
  <c r="E556" i="4"/>
  <c r="G555" i="4"/>
  <c r="F555" i="4"/>
  <c r="E555" i="4"/>
  <c r="G554" i="4"/>
  <c r="F554" i="4"/>
  <c r="E554" i="4"/>
  <c r="G553" i="4"/>
  <c r="F553" i="4"/>
  <c r="E553" i="4"/>
  <c r="G552" i="4"/>
  <c r="F552" i="4"/>
  <c r="E552" i="4"/>
  <c r="G551" i="4"/>
  <c r="F551" i="4"/>
  <c r="E551" i="4"/>
  <c r="G550" i="4"/>
  <c r="F550" i="4"/>
  <c r="E550" i="4"/>
  <c r="G549" i="4"/>
  <c r="F549" i="4"/>
  <c r="E549" i="4"/>
  <c r="G548" i="4"/>
  <c r="F548" i="4"/>
  <c r="E548" i="4"/>
  <c r="G547" i="4"/>
  <c r="F547" i="4"/>
  <c r="E547" i="4"/>
  <c r="G546" i="4"/>
  <c r="F546" i="4"/>
  <c r="E546" i="4"/>
  <c r="G545" i="4"/>
  <c r="F545" i="4"/>
  <c r="E545" i="4"/>
  <c r="G544" i="4"/>
  <c r="F544" i="4"/>
  <c r="E544" i="4"/>
  <c r="G543" i="4"/>
  <c r="F543" i="4"/>
  <c r="E543" i="4"/>
  <c r="G542" i="4"/>
  <c r="F542" i="4"/>
  <c r="E542" i="4"/>
  <c r="G541" i="4"/>
  <c r="F541" i="4"/>
  <c r="E541" i="4"/>
  <c r="G540" i="4"/>
  <c r="F540" i="4"/>
  <c r="E540" i="4"/>
  <c r="G539" i="4"/>
  <c r="F539" i="4"/>
  <c r="E539" i="4"/>
  <c r="G538" i="4"/>
  <c r="F538" i="4"/>
  <c r="E538" i="4"/>
  <c r="G537" i="4"/>
  <c r="F537" i="4"/>
  <c r="E537" i="4"/>
  <c r="G536" i="4"/>
  <c r="F536" i="4"/>
  <c r="E536" i="4"/>
  <c r="G535" i="4"/>
  <c r="F535" i="4"/>
  <c r="E535" i="4"/>
  <c r="G534" i="4"/>
  <c r="F534" i="4"/>
  <c r="E534" i="4"/>
  <c r="G533" i="4"/>
  <c r="F533" i="4"/>
  <c r="E533" i="4"/>
  <c r="G532" i="4"/>
  <c r="F532" i="4"/>
  <c r="E532" i="4"/>
  <c r="G531" i="4"/>
  <c r="F531" i="4"/>
  <c r="E531" i="4"/>
  <c r="G530" i="4"/>
  <c r="F530" i="4"/>
  <c r="E530" i="4"/>
  <c r="G529" i="4"/>
  <c r="F529" i="4"/>
  <c r="E529" i="4"/>
  <c r="G528" i="4"/>
  <c r="F528" i="4"/>
  <c r="E528" i="4"/>
  <c r="G527" i="4"/>
  <c r="F527" i="4"/>
  <c r="E527" i="4"/>
  <c r="G526" i="4"/>
  <c r="F526" i="4"/>
  <c r="E526" i="4"/>
  <c r="G525" i="4"/>
  <c r="F525" i="4"/>
  <c r="E525" i="4"/>
  <c r="G524" i="4"/>
  <c r="F524" i="4"/>
  <c r="E524" i="4"/>
  <c r="G523" i="4"/>
  <c r="F523" i="4"/>
  <c r="E523" i="4"/>
  <c r="G522" i="4"/>
  <c r="F522" i="4"/>
  <c r="E522" i="4"/>
  <c r="G521" i="4"/>
  <c r="F521" i="4"/>
  <c r="E521" i="4"/>
  <c r="G520" i="4"/>
  <c r="F520" i="4"/>
  <c r="E520" i="4"/>
  <c r="G519" i="4"/>
  <c r="F519" i="4"/>
  <c r="E519" i="4"/>
  <c r="G518" i="4"/>
  <c r="F518" i="4"/>
  <c r="E518" i="4"/>
  <c r="G517" i="4"/>
  <c r="F517" i="4"/>
  <c r="E517" i="4"/>
  <c r="G516" i="4"/>
  <c r="F516" i="4"/>
  <c r="E516" i="4"/>
  <c r="G515" i="4"/>
  <c r="F515" i="4"/>
  <c r="E515" i="4"/>
  <c r="G514" i="4"/>
  <c r="F514" i="4"/>
  <c r="E514" i="4"/>
  <c r="G513" i="4"/>
  <c r="F513" i="4"/>
  <c r="E513" i="4"/>
  <c r="G512" i="4"/>
  <c r="F512" i="4"/>
  <c r="E512" i="4"/>
  <c r="G511" i="4"/>
  <c r="F511" i="4"/>
  <c r="E511" i="4"/>
  <c r="G510" i="4"/>
  <c r="F510" i="4"/>
  <c r="E510" i="4"/>
  <c r="G509" i="4"/>
  <c r="F509" i="4"/>
  <c r="E509" i="4"/>
  <c r="G508" i="4"/>
  <c r="F508" i="4"/>
  <c r="E508" i="4"/>
  <c r="G507" i="4"/>
  <c r="F507" i="4"/>
  <c r="E507" i="4"/>
  <c r="G506" i="4"/>
  <c r="F506" i="4"/>
  <c r="E506" i="4"/>
  <c r="G505" i="4"/>
  <c r="F505" i="4"/>
  <c r="E505" i="4"/>
  <c r="G504" i="4"/>
  <c r="F504" i="4"/>
  <c r="E504" i="4"/>
  <c r="G503" i="4"/>
  <c r="F503" i="4"/>
  <c r="E503" i="4"/>
  <c r="G502" i="4"/>
  <c r="F502" i="4"/>
  <c r="E502" i="4"/>
  <c r="G501" i="4"/>
  <c r="F501" i="4"/>
  <c r="E501" i="4"/>
  <c r="G500" i="4"/>
  <c r="F500" i="4"/>
  <c r="E500" i="4"/>
  <c r="G499" i="4"/>
  <c r="F499" i="4"/>
  <c r="E499" i="4"/>
  <c r="G498" i="4"/>
  <c r="F498" i="4"/>
  <c r="E498" i="4"/>
  <c r="G497" i="4"/>
  <c r="F497" i="4"/>
  <c r="E497" i="4"/>
  <c r="G496" i="4"/>
  <c r="F496" i="4"/>
  <c r="E496" i="4"/>
  <c r="G495" i="4"/>
  <c r="F495" i="4"/>
  <c r="E495" i="4"/>
  <c r="G494" i="4"/>
  <c r="F494" i="4"/>
  <c r="E494" i="4"/>
  <c r="G493" i="4"/>
  <c r="F493" i="4"/>
  <c r="E493" i="4"/>
  <c r="G492" i="4"/>
  <c r="F492" i="4"/>
  <c r="E492" i="4"/>
  <c r="G491" i="4"/>
  <c r="F491" i="4"/>
  <c r="E491" i="4"/>
  <c r="G490" i="4"/>
  <c r="F490" i="4"/>
  <c r="E490" i="4"/>
  <c r="G489" i="4"/>
  <c r="F489" i="4"/>
  <c r="E489" i="4"/>
  <c r="G488" i="4"/>
  <c r="F488" i="4"/>
  <c r="E488" i="4"/>
  <c r="G487" i="4"/>
  <c r="F487" i="4"/>
  <c r="E487" i="4"/>
  <c r="G486" i="4"/>
  <c r="F486" i="4"/>
  <c r="E486" i="4"/>
  <c r="G485" i="4"/>
  <c r="F485" i="4"/>
  <c r="E485" i="4"/>
  <c r="G484" i="4"/>
  <c r="F484" i="4"/>
  <c r="E484" i="4"/>
  <c r="G483" i="4"/>
  <c r="F483" i="4"/>
  <c r="E483" i="4"/>
  <c r="G482" i="4"/>
  <c r="F482" i="4"/>
  <c r="E482" i="4"/>
  <c r="G481" i="4"/>
  <c r="F481" i="4"/>
  <c r="E481" i="4"/>
  <c r="G480" i="4"/>
  <c r="F480" i="4"/>
  <c r="E480" i="4"/>
  <c r="G479" i="4"/>
  <c r="F479" i="4"/>
  <c r="E479" i="4"/>
  <c r="G478" i="4"/>
  <c r="F478" i="4"/>
  <c r="E478" i="4"/>
  <c r="G477" i="4"/>
  <c r="F477" i="4"/>
  <c r="E477" i="4"/>
  <c r="G476" i="4"/>
  <c r="F476" i="4"/>
  <c r="E476" i="4"/>
  <c r="G475" i="4"/>
  <c r="F475" i="4"/>
  <c r="E475" i="4"/>
  <c r="G474" i="4"/>
  <c r="F474" i="4"/>
  <c r="E474" i="4"/>
  <c r="G473" i="4"/>
  <c r="F473" i="4"/>
  <c r="E473" i="4"/>
  <c r="G472" i="4"/>
  <c r="F472" i="4"/>
  <c r="E472" i="4"/>
  <c r="G471" i="4"/>
  <c r="F471" i="4"/>
  <c r="E471" i="4"/>
  <c r="G470" i="4"/>
  <c r="F470" i="4"/>
  <c r="E470" i="4"/>
  <c r="G469" i="4"/>
  <c r="F469" i="4"/>
  <c r="E469" i="4"/>
  <c r="G468" i="4"/>
  <c r="F468" i="4"/>
  <c r="E468" i="4"/>
  <c r="G467" i="4"/>
  <c r="F467" i="4"/>
  <c r="E467" i="4"/>
  <c r="G466" i="4"/>
  <c r="F466" i="4"/>
  <c r="E466" i="4"/>
  <c r="G465" i="4"/>
  <c r="F465" i="4"/>
  <c r="E465" i="4"/>
  <c r="G464" i="4"/>
  <c r="F464" i="4"/>
  <c r="E464" i="4"/>
  <c r="G463" i="4"/>
  <c r="F463" i="4"/>
  <c r="E463" i="4"/>
  <c r="G462" i="4"/>
  <c r="F462" i="4"/>
  <c r="E462" i="4"/>
  <c r="G461" i="4"/>
  <c r="F461" i="4"/>
  <c r="E461" i="4"/>
  <c r="G460" i="4"/>
  <c r="F460" i="4"/>
  <c r="E460" i="4"/>
  <c r="G459" i="4"/>
  <c r="F459" i="4"/>
  <c r="E459" i="4"/>
  <c r="G458" i="4"/>
  <c r="F458" i="4"/>
  <c r="E458" i="4"/>
  <c r="G457" i="4"/>
  <c r="F457" i="4"/>
  <c r="E457" i="4"/>
  <c r="G456" i="4"/>
  <c r="F456" i="4"/>
  <c r="E456" i="4"/>
  <c r="G455" i="4"/>
  <c r="F455" i="4"/>
  <c r="E455" i="4"/>
  <c r="G454" i="4"/>
  <c r="F454" i="4"/>
  <c r="E454" i="4"/>
  <c r="G453" i="4"/>
  <c r="F453" i="4"/>
  <c r="E453" i="4"/>
  <c r="G452" i="4"/>
  <c r="F452" i="4"/>
  <c r="E452" i="4"/>
  <c r="G451" i="4"/>
  <c r="F451" i="4"/>
  <c r="E451" i="4"/>
  <c r="G450" i="4"/>
  <c r="F450" i="4"/>
  <c r="E450" i="4"/>
  <c r="G449" i="4"/>
  <c r="F449" i="4"/>
  <c r="E449" i="4"/>
  <c r="G448" i="4"/>
  <c r="F448" i="4"/>
  <c r="E448" i="4"/>
  <c r="G447" i="4"/>
  <c r="F447" i="4"/>
  <c r="E447" i="4"/>
  <c r="G446" i="4"/>
  <c r="F446" i="4"/>
  <c r="E446" i="4"/>
  <c r="G445" i="4"/>
  <c r="F445" i="4"/>
  <c r="E445" i="4"/>
  <c r="G444" i="4"/>
  <c r="F444" i="4"/>
  <c r="E444" i="4"/>
  <c r="G443" i="4"/>
  <c r="F443" i="4"/>
  <c r="E443" i="4"/>
  <c r="G442" i="4"/>
  <c r="F442" i="4"/>
  <c r="E442" i="4"/>
  <c r="G441" i="4"/>
  <c r="F441" i="4"/>
  <c r="E441" i="4"/>
  <c r="G440" i="4"/>
  <c r="F440" i="4"/>
  <c r="E440" i="4"/>
  <c r="G439" i="4"/>
  <c r="F439" i="4"/>
  <c r="E439" i="4"/>
  <c r="G438" i="4"/>
  <c r="F438" i="4"/>
  <c r="E438" i="4"/>
  <c r="G437" i="4"/>
  <c r="F437" i="4"/>
  <c r="E437" i="4"/>
  <c r="G436" i="4"/>
  <c r="F436" i="4"/>
  <c r="E436" i="4"/>
  <c r="G435" i="4"/>
  <c r="F435" i="4"/>
  <c r="E435" i="4"/>
  <c r="G434" i="4"/>
  <c r="F434" i="4"/>
  <c r="E434" i="4"/>
  <c r="G433" i="4"/>
  <c r="F433" i="4"/>
  <c r="E433" i="4"/>
  <c r="G432" i="4"/>
  <c r="F432" i="4"/>
  <c r="E432" i="4"/>
  <c r="G431" i="4"/>
  <c r="F431" i="4"/>
  <c r="E431" i="4"/>
  <c r="G430" i="4"/>
  <c r="F430" i="4"/>
  <c r="E430" i="4"/>
  <c r="G429" i="4"/>
  <c r="F429" i="4"/>
  <c r="E429" i="4"/>
  <c r="G428" i="4"/>
  <c r="F428" i="4"/>
  <c r="E428" i="4"/>
  <c r="G427" i="4"/>
  <c r="F427" i="4"/>
  <c r="E427" i="4"/>
  <c r="G426" i="4"/>
  <c r="F426" i="4"/>
  <c r="E426" i="4"/>
  <c r="G425" i="4"/>
  <c r="F425" i="4"/>
  <c r="E425" i="4"/>
  <c r="G424" i="4"/>
  <c r="F424" i="4"/>
  <c r="E424" i="4"/>
  <c r="G423" i="4"/>
  <c r="F423" i="4"/>
  <c r="E423" i="4"/>
  <c r="G422" i="4"/>
  <c r="F422" i="4"/>
  <c r="E422" i="4"/>
  <c r="G421" i="4"/>
  <c r="F421" i="4"/>
  <c r="E421" i="4"/>
  <c r="G420" i="4"/>
  <c r="F420" i="4"/>
  <c r="E420" i="4"/>
  <c r="G419" i="4"/>
  <c r="F419" i="4"/>
  <c r="E419" i="4"/>
  <c r="G418" i="4"/>
  <c r="F418" i="4"/>
  <c r="E418" i="4"/>
  <c r="G417" i="4"/>
  <c r="F417" i="4"/>
  <c r="E417" i="4"/>
  <c r="G416" i="4"/>
  <c r="F416" i="4"/>
  <c r="E416" i="4"/>
  <c r="G415" i="4"/>
  <c r="F415" i="4"/>
  <c r="E415" i="4"/>
  <c r="G414" i="4"/>
  <c r="F414" i="4"/>
  <c r="E414" i="4"/>
  <c r="G413" i="4"/>
  <c r="F413" i="4"/>
  <c r="E413" i="4"/>
  <c r="G412" i="4"/>
  <c r="F412" i="4"/>
  <c r="E412" i="4"/>
  <c r="G411" i="4"/>
  <c r="F411" i="4"/>
  <c r="E411" i="4"/>
  <c r="G410" i="4"/>
  <c r="F410" i="4"/>
  <c r="E410" i="4"/>
  <c r="G409" i="4"/>
  <c r="F409" i="4"/>
  <c r="E409" i="4"/>
  <c r="G408" i="4"/>
  <c r="F408" i="4"/>
  <c r="E408" i="4"/>
  <c r="G407" i="4"/>
  <c r="F407" i="4"/>
  <c r="E407" i="4"/>
  <c r="G406" i="4"/>
  <c r="F406" i="4"/>
  <c r="E406" i="4"/>
  <c r="G405" i="4"/>
  <c r="F405" i="4"/>
  <c r="E405" i="4"/>
  <c r="G404" i="4"/>
  <c r="F404" i="4"/>
  <c r="E404" i="4"/>
  <c r="G403" i="4"/>
  <c r="F403" i="4"/>
  <c r="E403" i="4"/>
  <c r="G402" i="4"/>
  <c r="F402" i="4"/>
  <c r="E402" i="4"/>
  <c r="G401" i="4"/>
  <c r="F401" i="4"/>
  <c r="E401" i="4"/>
  <c r="G400" i="4"/>
  <c r="F400" i="4"/>
  <c r="E400" i="4"/>
  <c r="G399" i="4"/>
  <c r="F399" i="4"/>
  <c r="E399" i="4"/>
  <c r="G398" i="4"/>
  <c r="F398" i="4"/>
  <c r="E398" i="4"/>
  <c r="G397" i="4"/>
  <c r="F397" i="4"/>
  <c r="E397" i="4"/>
  <c r="G396" i="4"/>
  <c r="F396" i="4"/>
  <c r="E396" i="4"/>
  <c r="G395" i="4"/>
  <c r="F395" i="4"/>
  <c r="E395" i="4"/>
  <c r="G394" i="4"/>
  <c r="F394" i="4"/>
  <c r="E394" i="4"/>
  <c r="G393" i="4"/>
  <c r="F393" i="4"/>
  <c r="E393" i="4"/>
  <c r="G392" i="4"/>
  <c r="F392" i="4"/>
  <c r="E392" i="4"/>
  <c r="G391" i="4"/>
  <c r="F391" i="4"/>
  <c r="E391" i="4"/>
  <c r="G390" i="4"/>
  <c r="F390" i="4"/>
  <c r="E390" i="4"/>
  <c r="G389" i="4"/>
  <c r="F389" i="4"/>
  <c r="E389" i="4"/>
  <c r="G388" i="4"/>
  <c r="F388" i="4"/>
  <c r="E388" i="4"/>
  <c r="G387" i="4"/>
  <c r="F387" i="4"/>
  <c r="E387" i="4"/>
  <c r="G386" i="4"/>
  <c r="F386" i="4"/>
  <c r="E386" i="4"/>
  <c r="G385" i="4"/>
  <c r="F385" i="4"/>
  <c r="E385" i="4"/>
  <c r="G384" i="4"/>
  <c r="F384" i="4"/>
  <c r="E384" i="4"/>
  <c r="G383" i="4"/>
  <c r="F383" i="4"/>
  <c r="E383" i="4"/>
  <c r="G382" i="4"/>
  <c r="F382" i="4"/>
  <c r="E382" i="4"/>
  <c r="G381" i="4"/>
  <c r="F381" i="4"/>
  <c r="E381" i="4"/>
  <c r="G380" i="4"/>
  <c r="F380" i="4"/>
  <c r="E380" i="4"/>
  <c r="G379" i="4"/>
  <c r="F379" i="4"/>
  <c r="E379" i="4"/>
  <c r="G378" i="4"/>
  <c r="F378" i="4"/>
  <c r="E378" i="4"/>
  <c r="G377" i="4"/>
  <c r="F377" i="4"/>
  <c r="E377" i="4"/>
  <c r="G376" i="4"/>
  <c r="F376" i="4"/>
  <c r="E376" i="4"/>
  <c r="G375" i="4"/>
  <c r="F375" i="4"/>
  <c r="E375" i="4"/>
  <c r="G374" i="4"/>
  <c r="F374" i="4"/>
  <c r="E374" i="4"/>
  <c r="G373" i="4"/>
  <c r="F373" i="4"/>
  <c r="E373" i="4"/>
  <c r="G372" i="4"/>
  <c r="F372" i="4"/>
  <c r="E372" i="4"/>
  <c r="G371" i="4"/>
  <c r="F371" i="4"/>
  <c r="E371" i="4"/>
  <c r="G370" i="4"/>
  <c r="F370" i="4"/>
  <c r="E370" i="4"/>
  <c r="G369" i="4"/>
  <c r="F369" i="4"/>
  <c r="E369" i="4"/>
  <c r="G368" i="4"/>
  <c r="F368" i="4"/>
  <c r="E368" i="4"/>
  <c r="G367" i="4"/>
  <c r="F367" i="4"/>
  <c r="E367" i="4"/>
  <c r="G366" i="4"/>
  <c r="F366" i="4"/>
  <c r="E366" i="4"/>
  <c r="G365" i="4"/>
  <c r="F365" i="4"/>
  <c r="E365" i="4"/>
  <c r="G364" i="4"/>
  <c r="F364" i="4"/>
  <c r="E364" i="4"/>
  <c r="G363" i="4"/>
  <c r="F363" i="4"/>
  <c r="E363" i="4"/>
  <c r="G362" i="4"/>
  <c r="F362" i="4"/>
  <c r="E362" i="4"/>
  <c r="G361" i="4"/>
  <c r="F361" i="4"/>
  <c r="E361" i="4"/>
  <c r="G360" i="4"/>
  <c r="F360" i="4"/>
  <c r="E360" i="4"/>
  <c r="G359" i="4"/>
  <c r="F359" i="4"/>
  <c r="E359" i="4"/>
  <c r="G358" i="4"/>
  <c r="F358" i="4"/>
  <c r="E358" i="4"/>
  <c r="G357" i="4"/>
  <c r="F357" i="4"/>
  <c r="E357" i="4"/>
  <c r="G356" i="4"/>
  <c r="F356" i="4"/>
  <c r="E356" i="4"/>
  <c r="G355" i="4"/>
  <c r="F355" i="4"/>
  <c r="E355" i="4"/>
  <c r="G354" i="4"/>
  <c r="F354" i="4"/>
  <c r="E354" i="4"/>
  <c r="G353" i="4"/>
  <c r="F353" i="4"/>
  <c r="E353" i="4"/>
  <c r="G352" i="4"/>
  <c r="F352" i="4"/>
  <c r="E352" i="4"/>
  <c r="G351" i="4"/>
  <c r="F351" i="4"/>
  <c r="E351" i="4"/>
  <c r="G350" i="4"/>
  <c r="F350" i="4"/>
  <c r="E350" i="4"/>
  <c r="G349" i="4"/>
  <c r="F349" i="4"/>
  <c r="E349" i="4"/>
  <c r="G348" i="4"/>
  <c r="F348" i="4"/>
  <c r="E348" i="4"/>
  <c r="G347" i="4"/>
  <c r="F347" i="4"/>
  <c r="E347" i="4"/>
  <c r="G346" i="4"/>
  <c r="F346" i="4"/>
  <c r="E346" i="4"/>
  <c r="G345" i="4"/>
  <c r="F345" i="4"/>
  <c r="E345" i="4"/>
  <c r="G344" i="4"/>
  <c r="F344" i="4"/>
  <c r="E344" i="4"/>
  <c r="G343" i="4"/>
  <c r="F343" i="4"/>
  <c r="E343" i="4"/>
  <c r="G342" i="4"/>
  <c r="F342" i="4"/>
  <c r="E342" i="4"/>
  <c r="G341" i="4"/>
  <c r="F341" i="4"/>
  <c r="E341" i="4"/>
  <c r="G340" i="4"/>
  <c r="F340" i="4"/>
  <c r="E340" i="4"/>
  <c r="G339" i="4"/>
  <c r="F339" i="4"/>
  <c r="E339" i="4"/>
  <c r="G338" i="4"/>
  <c r="F338" i="4"/>
  <c r="E338" i="4"/>
  <c r="G337" i="4"/>
  <c r="F337" i="4"/>
  <c r="E337" i="4"/>
  <c r="G336" i="4"/>
  <c r="F336" i="4"/>
  <c r="E336" i="4"/>
  <c r="G335" i="4"/>
  <c r="F335" i="4"/>
  <c r="E335" i="4"/>
  <c r="G334" i="4"/>
  <c r="F334" i="4"/>
  <c r="E334" i="4"/>
  <c r="G333" i="4"/>
  <c r="F333" i="4"/>
  <c r="E333" i="4"/>
  <c r="G332" i="4"/>
  <c r="F332" i="4"/>
  <c r="E332" i="4"/>
  <c r="G331" i="4"/>
  <c r="F331" i="4"/>
  <c r="E331" i="4"/>
  <c r="G330" i="4"/>
  <c r="F330" i="4"/>
  <c r="E330" i="4"/>
  <c r="G329" i="4"/>
  <c r="F329" i="4"/>
  <c r="E329" i="4"/>
  <c r="G328" i="4"/>
  <c r="F328" i="4"/>
  <c r="E328" i="4"/>
  <c r="G327" i="4"/>
  <c r="F327" i="4"/>
  <c r="E327" i="4"/>
  <c r="G326" i="4"/>
  <c r="F326" i="4"/>
  <c r="E326" i="4"/>
  <c r="G325" i="4"/>
  <c r="F325" i="4"/>
  <c r="E325" i="4"/>
  <c r="G324" i="4"/>
  <c r="F324" i="4"/>
  <c r="E324" i="4"/>
  <c r="G323" i="4"/>
  <c r="F323" i="4"/>
  <c r="E323" i="4"/>
  <c r="G322" i="4"/>
  <c r="F322" i="4"/>
  <c r="E322" i="4"/>
  <c r="G321" i="4"/>
  <c r="F321" i="4"/>
  <c r="E321" i="4"/>
  <c r="G320" i="4"/>
  <c r="F320" i="4"/>
  <c r="E320" i="4"/>
  <c r="G319" i="4"/>
  <c r="F319" i="4"/>
  <c r="E319" i="4"/>
  <c r="G318" i="4"/>
  <c r="F318" i="4"/>
  <c r="E318" i="4"/>
  <c r="G317" i="4"/>
  <c r="F317" i="4"/>
  <c r="E317" i="4"/>
  <c r="G316" i="4"/>
  <c r="F316" i="4"/>
  <c r="E316" i="4"/>
  <c r="G315" i="4"/>
  <c r="F315" i="4"/>
  <c r="E315" i="4"/>
  <c r="G314" i="4"/>
  <c r="F314" i="4"/>
  <c r="E314" i="4"/>
  <c r="G313" i="4"/>
  <c r="F313" i="4"/>
  <c r="E313" i="4"/>
  <c r="G312" i="4"/>
  <c r="F312" i="4"/>
  <c r="E312" i="4"/>
  <c r="G311" i="4"/>
  <c r="F311" i="4"/>
  <c r="E311" i="4"/>
  <c r="G310" i="4"/>
  <c r="F310" i="4"/>
  <c r="E310" i="4"/>
  <c r="G309" i="4"/>
  <c r="F309" i="4"/>
  <c r="E309" i="4"/>
  <c r="G308" i="4"/>
  <c r="F308" i="4"/>
  <c r="E308" i="4"/>
  <c r="G307" i="4"/>
  <c r="F307" i="4"/>
  <c r="E307" i="4"/>
  <c r="G306" i="4"/>
  <c r="F306" i="4"/>
  <c r="E306" i="4"/>
  <c r="G305" i="4"/>
  <c r="F305" i="4"/>
  <c r="E305" i="4"/>
  <c r="G304" i="4"/>
  <c r="F304" i="4"/>
  <c r="E304" i="4"/>
  <c r="G303" i="4"/>
  <c r="F303" i="4"/>
  <c r="E303" i="4"/>
  <c r="G302" i="4"/>
  <c r="F302" i="4"/>
  <c r="E302" i="4"/>
  <c r="G301" i="4"/>
  <c r="F301" i="4"/>
  <c r="E301" i="4"/>
  <c r="G300" i="4"/>
  <c r="F300" i="4"/>
  <c r="E300" i="4"/>
  <c r="G299" i="4"/>
  <c r="F299" i="4"/>
  <c r="E299" i="4"/>
  <c r="G298" i="4"/>
  <c r="F298" i="4"/>
  <c r="E298" i="4"/>
  <c r="G297" i="4"/>
  <c r="F297" i="4"/>
  <c r="E297" i="4"/>
  <c r="G296" i="4"/>
  <c r="F296" i="4"/>
  <c r="E296" i="4"/>
  <c r="G295" i="4"/>
  <c r="F295" i="4"/>
  <c r="E295" i="4"/>
  <c r="G294" i="4"/>
  <c r="F294" i="4"/>
  <c r="E294" i="4"/>
  <c r="G293" i="4"/>
  <c r="F293" i="4"/>
  <c r="E293" i="4"/>
  <c r="G292" i="4"/>
  <c r="F292" i="4"/>
  <c r="E292" i="4"/>
  <c r="G291" i="4"/>
  <c r="F291" i="4"/>
  <c r="E291" i="4"/>
  <c r="G290" i="4"/>
  <c r="F290" i="4"/>
  <c r="E290" i="4"/>
  <c r="G289" i="4"/>
  <c r="F289" i="4"/>
  <c r="E289" i="4"/>
  <c r="G288" i="4"/>
  <c r="F288" i="4"/>
  <c r="E288" i="4"/>
  <c r="G287" i="4"/>
  <c r="F287" i="4"/>
  <c r="E287" i="4"/>
  <c r="G286" i="4"/>
  <c r="F286" i="4"/>
  <c r="E286" i="4"/>
  <c r="G285" i="4"/>
  <c r="F285" i="4"/>
  <c r="E285" i="4"/>
  <c r="G284" i="4"/>
  <c r="F284" i="4"/>
  <c r="E284" i="4"/>
  <c r="G283" i="4"/>
  <c r="F283" i="4"/>
  <c r="E283" i="4"/>
  <c r="G282" i="4"/>
  <c r="F282" i="4"/>
  <c r="E282" i="4"/>
  <c r="G281" i="4"/>
  <c r="F281" i="4"/>
  <c r="E281" i="4"/>
  <c r="G280" i="4"/>
  <c r="F280" i="4"/>
  <c r="E280" i="4"/>
  <c r="G279" i="4"/>
  <c r="F279" i="4"/>
  <c r="E279" i="4"/>
  <c r="G278" i="4"/>
  <c r="F278" i="4"/>
  <c r="E278" i="4"/>
  <c r="G277" i="4"/>
  <c r="F277" i="4"/>
  <c r="E277" i="4"/>
  <c r="G276" i="4"/>
  <c r="F276" i="4"/>
  <c r="E276" i="4"/>
  <c r="G275" i="4"/>
  <c r="F275" i="4"/>
  <c r="E275" i="4"/>
  <c r="G274" i="4"/>
  <c r="F274" i="4"/>
  <c r="E274" i="4"/>
  <c r="G273" i="4"/>
  <c r="F273" i="4"/>
  <c r="E273" i="4"/>
  <c r="G272" i="4"/>
  <c r="F272" i="4"/>
  <c r="E272" i="4"/>
  <c r="G271" i="4"/>
  <c r="F271" i="4"/>
  <c r="E271" i="4"/>
  <c r="G270" i="4"/>
  <c r="F270" i="4"/>
  <c r="E270" i="4"/>
  <c r="G269" i="4"/>
  <c r="F269" i="4"/>
  <c r="E269" i="4"/>
  <c r="G268" i="4"/>
  <c r="F268" i="4"/>
  <c r="E268" i="4"/>
  <c r="G267" i="4"/>
  <c r="F267" i="4"/>
  <c r="E267" i="4"/>
  <c r="G266" i="4"/>
  <c r="F266" i="4"/>
  <c r="E266" i="4"/>
  <c r="G265" i="4"/>
  <c r="F265" i="4"/>
  <c r="E265" i="4"/>
  <c r="G264" i="4"/>
  <c r="F264" i="4"/>
  <c r="E264" i="4"/>
  <c r="G263" i="4"/>
  <c r="F263" i="4"/>
  <c r="E263" i="4"/>
  <c r="G262" i="4"/>
  <c r="F262" i="4"/>
  <c r="E262" i="4"/>
  <c r="G261" i="4"/>
  <c r="F261" i="4"/>
  <c r="E261" i="4"/>
  <c r="G260" i="4"/>
  <c r="F260" i="4"/>
  <c r="E260" i="4"/>
  <c r="G259" i="4"/>
  <c r="F259" i="4"/>
  <c r="E259" i="4"/>
  <c r="G258" i="4"/>
  <c r="F258" i="4"/>
  <c r="E258" i="4"/>
  <c r="G257" i="4"/>
  <c r="F257" i="4"/>
  <c r="E257" i="4"/>
  <c r="G256" i="4"/>
  <c r="F256" i="4"/>
  <c r="E256" i="4"/>
  <c r="G255" i="4"/>
  <c r="F255" i="4"/>
  <c r="E255" i="4"/>
  <c r="G254" i="4"/>
  <c r="F254" i="4"/>
  <c r="E254" i="4"/>
  <c r="G253" i="4"/>
  <c r="F253" i="4"/>
  <c r="E253" i="4"/>
  <c r="G252" i="4"/>
  <c r="F252" i="4"/>
  <c r="E252" i="4"/>
  <c r="G251" i="4"/>
  <c r="F251" i="4"/>
  <c r="E251" i="4"/>
  <c r="G250" i="4"/>
  <c r="F250" i="4"/>
  <c r="E250" i="4"/>
  <c r="G249" i="4"/>
  <c r="F249" i="4"/>
  <c r="E249" i="4"/>
  <c r="G248" i="4"/>
  <c r="F248" i="4"/>
  <c r="E248" i="4"/>
  <c r="G247" i="4"/>
  <c r="F247" i="4"/>
  <c r="E247" i="4"/>
  <c r="G246" i="4"/>
  <c r="F246" i="4"/>
  <c r="E246" i="4"/>
  <c r="G245" i="4"/>
  <c r="F245" i="4"/>
  <c r="E245" i="4"/>
  <c r="G244" i="4"/>
  <c r="F244" i="4"/>
  <c r="E244" i="4"/>
  <c r="G243" i="4"/>
  <c r="F243" i="4"/>
  <c r="E243" i="4"/>
  <c r="G242" i="4"/>
  <c r="F242" i="4"/>
  <c r="E242" i="4"/>
  <c r="G241" i="4"/>
  <c r="F241" i="4"/>
  <c r="E241" i="4"/>
  <c r="G240" i="4"/>
  <c r="F240" i="4"/>
  <c r="E240" i="4"/>
  <c r="G239" i="4"/>
  <c r="F239" i="4"/>
  <c r="E239" i="4"/>
  <c r="G238" i="4"/>
  <c r="F238" i="4"/>
  <c r="E238" i="4"/>
  <c r="G237" i="4"/>
  <c r="F237" i="4"/>
  <c r="E237" i="4"/>
  <c r="G236" i="4"/>
  <c r="F236" i="4"/>
  <c r="E236" i="4"/>
  <c r="G235" i="4"/>
  <c r="F235" i="4"/>
  <c r="E235" i="4"/>
  <c r="G234" i="4"/>
  <c r="F234" i="4"/>
  <c r="E234" i="4"/>
  <c r="G233" i="4"/>
  <c r="F233" i="4"/>
  <c r="E233" i="4"/>
  <c r="G232" i="4"/>
  <c r="F232" i="4"/>
  <c r="E232" i="4"/>
  <c r="G231" i="4"/>
  <c r="F231" i="4"/>
  <c r="E231" i="4"/>
  <c r="G230" i="4"/>
  <c r="F230" i="4"/>
  <c r="E230" i="4"/>
  <c r="G229" i="4"/>
  <c r="F229" i="4"/>
  <c r="E229" i="4"/>
  <c r="G228" i="4"/>
  <c r="F228" i="4"/>
  <c r="E228" i="4"/>
  <c r="G227" i="4"/>
  <c r="F227" i="4"/>
  <c r="E227" i="4"/>
  <c r="G226" i="4"/>
  <c r="F226" i="4"/>
  <c r="E226" i="4"/>
  <c r="G225" i="4"/>
  <c r="F225" i="4"/>
  <c r="E225" i="4"/>
  <c r="G224" i="4"/>
  <c r="F224" i="4"/>
  <c r="E224" i="4"/>
  <c r="G223" i="4"/>
  <c r="F223" i="4"/>
  <c r="E223" i="4"/>
  <c r="G222" i="4"/>
  <c r="F222" i="4"/>
  <c r="E222" i="4"/>
  <c r="G221" i="4"/>
  <c r="F221" i="4"/>
  <c r="E221" i="4"/>
  <c r="G220" i="4"/>
  <c r="F220" i="4"/>
  <c r="E220" i="4"/>
  <c r="G219" i="4"/>
  <c r="F219" i="4"/>
  <c r="E219" i="4"/>
  <c r="G218" i="4"/>
  <c r="F218" i="4"/>
  <c r="E218" i="4"/>
  <c r="G217" i="4"/>
  <c r="F217" i="4"/>
  <c r="E217" i="4"/>
  <c r="G216" i="4"/>
  <c r="F216" i="4"/>
  <c r="E216" i="4"/>
  <c r="G215" i="4"/>
  <c r="F215" i="4"/>
  <c r="E215" i="4"/>
  <c r="G214" i="4"/>
  <c r="F214" i="4"/>
  <c r="E214" i="4"/>
  <c r="G213" i="4"/>
  <c r="F213" i="4"/>
  <c r="E213" i="4"/>
  <c r="G212" i="4"/>
  <c r="F212" i="4"/>
  <c r="E212" i="4"/>
  <c r="G211" i="4"/>
  <c r="F211" i="4"/>
  <c r="E211" i="4"/>
  <c r="G210" i="4"/>
  <c r="F210" i="4"/>
  <c r="E210" i="4"/>
  <c r="G209" i="4"/>
  <c r="F209" i="4"/>
  <c r="E209" i="4"/>
  <c r="G208" i="4"/>
  <c r="F208" i="4"/>
  <c r="E208" i="4"/>
  <c r="G207" i="4"/>
  <c r="F207" i="4"/>
  <c r="E207" i="4"/>
  <c r="G206" i="4"/>
  <c r="F206" i="4"/>
  <c r="E206" i="4"/>
  <c r="G205" i="4"/>
  <c r="F205" i="4"/>
  <c r="E205" i="4"/>
  <c r="G204" i="4"/>
  <c r="F204" i="4"/>
  <c r="E204" i="4"/>
  <c r="G203" i="4"/>
  <c r="F203" i="4"/>
  <c r="E203" i="4"/>
  <c r="G202" i="4"/>
  <c r="F202" i="4"/>
  <c r="E202" i="4"/>
  <c r="G201" i="4"/>
  <c r="F201" i="4"/>
  <c r="E201" i="4"/>
  <c r="G200" i="4"/>
  <c r="F200" i="4"/>
  <c r="E200" i="4"/>
  <c r="G199" i="4"/>
  <c r="F199" i="4"/>
  <c r="E199" i="4"/>
  <c r="G198" i="4"/>
  <c r="F198" i="4"/>
  <c r="E198" i="4"/>
  <c r="G197" i="4"/>
  <c r="F197" i="4"/>
  <c r="E197" i="4"/>
  <c r="G196" i="4"/>
  <c r="F196" i="4"/>
  <c r="E196" i="4"/>
  <c r="G195" i="4"/>
  <c r="F195" i="4"/>
  <c r="E195" i="4"/>
  <c r="G194" i="4"/>
  <c r="F194" i="4"/>
  <c r="E194" i="4"/>
  <c r="G193" i="4"/>
  <c r="F193" i="4"/>
  <c r="E193" i="4"/>
  <c r="G192" i="4"/>
  <c r="F192" i="4"/>
  <c r="E192" i="4"/>
  <c r="G191" i="4"/>
  <c r="F191" i="4"/>
  <c r="E191" i="4"/>
  <c r="G190" i="4"/>
  <c r="F190" i="4"/>
  <c r="E190" i="4"/>
  <c r="G189" i="4"/>
  <c r="F189" i="4"/>
  <c r="E189" i="4"/>
  <c r="G188" i="4"/>
  <c r="F188" i="4"/>
  <c r="E188" i="4"/>
  <c r="G187" i="4"/>
  <c r="F187" i="4"/>
  <c r="E187" i="4"/>
  <c r="G186" i="4"/>
  <c r="F186" i="4"/>
  <c r="E186" i="4"/>
  <c r="G185" i="4"/>
  <c r="F185" i="4"/>
  <c r="E185" i="4"/>
  <c r="G184" i="4"/>
  <c r="F184" i="4"/>
  <c r="E184" i="4"/>
  <c r="G183" i="4"/>
  <c r="F183" i="4"/>
  <c r="E183" i="4"/>
  <c r="G182" i="4"/>
  <c r="F182" i="4"/>
  <c r="E182" i="4"/>
  <c r="G181" i="4"/>
  <c r="F181" i="4"/>
  <c r="E181" i="4"/>
  <c r="G180" i="4"/>
  <c r="F180" i="4"/>
  <c r="E180" i="4"/>
  <c r="G179" i="4"/>
  <c r="F179" i="4"/>
  <c r="E179" i="4"/>
  <c r="G178" i="4"/>
  <c r="F178" i="4"/>
  <c r="E178" i="4"/>
  <c r="G177" i="4"/>
  <c r="F177" i="4"/>
  <c r="E177" i="4"/>
  <c r="G176" i="4"/>
  <c r="F176" i="4"/>
  <c r="E176" i="4"/>
  <c r="G175" i="4"/>
  <c r="F175" i="4"/>
  <c r="E175" i="4"/>
  <c r="G174" i="4"/>
  <c r="F174" i="4"/>
  <c r="E174" i="4"/>
  <c r="G173" i="4"/>
  <c r="F173" i="4"/>
  <c r="E173" i="4"/>
  <c r="G172" i="4"/>
  <c r="F172" i="4"/>
  <c r="E172" i="4"/>
  <c r="G171" i="4"/>
  <c r="F171" i="4"/>
  <c r="E171" i="4"/>
  <c r="G170" i="4"/>
  <c r="F170" i="4"/>
  <c r="E170" i="4"/>
  <c r="G169" i="4"/>
  <c r="F169" i="4"/>
  <c r="E169" i="4"/>
  <c r="G168" i="4"/>
  <c r="F168" i="4"/>
  <c r="E168" i="4"/>
  <c r="G167" i="4"/>
  <c r="F167" i="4"/>
  <c r="E167" i="4"/>
  <c r="G166" i="4"/>
  <c r="F166" i="4"/>
  <c r="E166" i="4"/>
  <c r="G165" i="4"/>
  <c r="F165" i="4"/>
  <c r="E165" i="4"/>
  <c r="G164" i="4"/>
  <c r="F164" i="4"/>
  <c r="E164" i="4"/>
  <c r="G163" i="4"/>
  <c r="F163" i="4"/>
  <c r="E163" i="4"/>
  <c r="G162" i="4"/>
  <c r="F162" i="4"/>
  <c r="E162" i="4"/>
  <c r="G161" i="4"/>
  <c r="F161" i="4"/>
  <c r="E161" i="4"/>
  <c r="G160" i="4"/>
  <c r="F160" i="4"/>
  <c r="E160" i="4"/>
  <c r="G159" i="4"/>
  <c r="F159" i="4"/>
  <c r="E159" i="4"/>
  <c r="G158" i="4"/>
  <c r="F158" i="4"/>
  <c r="E158" i="4"/>
  <c r="G157" i="4"/>
  <c r="F157" i="4"/>
  <c r="E157" i="4"/>
  <c r="G156" i="4"/>
  <c r="F156" i="4"/>
  <c r="E156" i="4"/>
  <c r="G155" i="4"/>
  <c r="F155" i="4"/>
  <c r="E155" i="4"/>
  <c r="G154" i="4"/>
  <c r="F154" i="4"/>
  <c r="E154" i="4"/>
  <c r="G153" i="4"/>
  <c r="F153" i="4"/>
  <c r="E153" i="4"/>
  <c r="G152" i="4"/>
  <c r="F152" i="4"/>
  <c r="E152" i="4"/>
  <c r="G151" i="4"/>
  <c r="F151" i="4"/>
  <c r="E151" i="4"/>
  <c r="G150" i="4"/>
  <c r="F150" i="4"/>
  <c r="E150" i="4"/>
  <c r="G149" i="4"/>
  <c r="F149" i="4"/>
  <c r="E149" i="4"/>
  <c r="G148" i="4"/>
  <c r="F148" i="4"/>
  <c r="E148" i="4"/>
  <c r="G147" i="4"/>
  <c r="F147" i="4"/>
  <c r="E147" i="4"/>
  <c r="G146" i="4"/>
  <c r="F146" i="4"/>
  <c r="E146" i="4"/>
  <c r="G145" i="4"/>
  <c r="F145" i="4"/>
  <c r="E145" i="4"/>
  <c r="G144" i="4"/>
  <c r="F144" i="4"/>
  <c r="E144" i="4"/>
  <c r="G143" i="4"/>
  <c r="F143" i="4"/>
  <c r="E143" i="4"/>
  <c r="G142" i="4"/>
  <c r="F142" i="4"/>
  <c r="E142" i="4"/>
  <c r="G141" i="4"/>
  <c r="F141" i="4"/>
  <c r="E141" i="4"/>
  <c r="G140" i="4"/>
  <c r="F140" i="4"/>
  <c r="E140" i="4"/>
  <c r="G139" i="4"/>
  <c r="F139" i="4"/>
  <c r="E139" i="4"/>
  <c r="G138" i="4"/>
  <c r="F138" i="4"/>
  <c r="E138" i="4"/>
  <c r="G137" i="4"/>
  <c r="F137" i="4"/>
  <c r="E137" i="4"/>
  <c r="G136" i="4"/>
  <c r="F136" i="4"/>
  <c r="E136" i="4"/>
  <c r="G135" i="4"/>
  <c r="F135" i="4"/>
  <c r="E135" i="4"/>
  <c r="G134" i="4"/>
  <c r="F134" i="4"/>
  <c r="E134" i="4"/>
  <c r="G133" i="4"/>
  <c r="F133" i="4"/>
  <c r="E133" i="4"/>
  <c r="G132" i="4"/>
  <c r="F132" i="4"/>
  <c r="E132" i="4"/>
  <c r="G131" i="4"/>
  <c r="F131" i="4"/>
  <c r="E131" i="4"/>
  <c r="G130" i="4"/>
  <c r="F130" i="4"/>
  <c r="E130" i="4"/>
  <c r="G129" i="4"/>
  <c r="F129" i="4"/>
  <c r="E129" i="4"/>
  <c r="G128" i="4"/>
  <c r="F128" i="4"/>
  <c r="E128" i="4"/>
  <c r="G127" i="4"/>
  <c r="F127" i="4"/>
  <c r="E127" i="4"/>
  <c r="G126" i="4"/>
  <c r="F126" i="4"/>
  <c r="E126" i="4"/>
  <c r="G125" i="4"/>
  <c r="F125" i="4"/>
  <c r="E125" i="4"/>
  <c r="G124" i="4"/>
  <c r="F124" i="4"/>
  <c r="E124" i="4"/>
  <c r="G123" i="4"/>
  <c r="F123" i="4"/>
  <c r="E123" i="4"/>
  <c r="G122" i="4"/>
  <c r="F122" i="4"/>
  <c r="E122" i="4"/>
  <c r="G121" i="4"/>
  <c r="F121" i="4"/>
  <c r="E121" i="4"/>
  <c r="G120" i="4"/>
  <c r="F120" i="4"/>
  <c r="E120" i="4"/>
  <c r="G119" i="4"/>
  <c r="F119" i="4"/>
  <c r="E119" i="4"/>
  <c r="G118" i="4"/>
  <c r="F118" i="4"/>
  <c r="E118" i="4"/>
  <c r="G117" i="4"/>
  <c r="F117" i="4"/>
  <c r="E117" i="4"/>
  <c r="G116" i="4"/>
  <c r="F116" i="4"/>
  <c r="E116" i="4"/>
  <c r="G115" i="4"/>
  <c r="F115" i="4"/>
  <c r="E115" i="4"/>
  <c r="G114" i="4"/>
  <c r="F114" i="4"/>
  <c r="E114" i="4"/>
  <c r="G113" i="4"/>
  <c r="F113" i="4"/>
  <c r="E113" i="4"/>
  <c r="G112" i="4"/>
  <c r="F112" i="4"/>
  <c r="E112" i="4"/>
  <c r="G111" i="4"/>
  <c r="F111" i="4"/>
  <c r="E111" i="4"/>
  <c r="G110" i="4"/>
  <c r="F110" i="4"/>
  <c r="E110" i="4"/>
  <c r="G109" i="4"/>
  <c r="F109" i="4"/>
  <c r="E109" i="4"/>
  <c r="G108" i="4"/>
  <c r="F108" i="4"/>
  <c r="E108" i="4"/>
  <c r="G107" i="4"/>
  <c r="F107" i="4"/>
  <c r="E107" i="4"/>
  <c r="G106" i="4"/>
  <c r="F106" i="4"/>
  <c r="E106" i="4"/>
  <c r="G105" i="4"/>
  <c r="F105" i="4"/>
  <c r="E105" i="4"/>
  <c r="G104" i="4"/>
  <c r="F104" i="4"/>
  <c r="E104" i="4"/>
  <c r="G103" i="4"/>
  <c r="F103" i="4"/>
  <c r="E103" i="4"/>
  <c r="G102" i="4"/>
  <c r="F102" i="4"/>
  <c r="E102" i="4"/>
  <c r="G101" i="4"/>
  <c r="F101" i="4"/>
  <c r="E101" i="4"/>
  <c r="G100" i="4"/>
  <c r="F100" i="4"/>
  <c r="E100" i="4"/>
  <c r="G99" i="4"/>
  <c r="F99" i="4"/>
  <c r="E99" i="4"/>
  <c r="G98" i="4"/>
  <c r="F98" i="4"/>
  <c r="E98" i="4"/>
  <c r="G97" i="4"/>
  <c r="F97" i="4"/>
  <c r="E97" i="4"/>
  <c r="G96" i="4"/>
  <c r="F96" i="4"/>
  <c r="E96" i="4"/>
  <c r="G95" i="4"/>
  <c r="F95" i="4"/>
  <c r="E95" i="4"/>
  <c r="G94" i="4"/>
  <c r="F94" i="4"/>
  <c r="E94" i="4"/>
  <c r="G93" i="4"/>
  <c r="F93" i="4"/>
  <c r="E93" i="4"/>
  <c r="G92" i="4"/>
  <c r="F92" i="4"/>
  <c r="E92" i="4"/>
  <c r="G91" i="4"/>
  <c r="F91" i="4"/>
  <c r="E91" i="4"/>
  <c r="G90" i="4"/>
  <c r="F90" i="4"/>
  <c r="E90" i="4"/>
  <c r="G89" i="4"/>
  <c r="F89" i="4"/>
  <c r="E89" i="4"/>
  <c r="G88" i="4"/>
  <c r="F88" i="4"/>
  <c r="E88" i="4"/>
  <c r="G87" i="4"/>
  <c r="F87" i="4"/>
  <c r="E87" i="4"/>
  <c r="G86" i="4"/>
  <c r="F86" i="4"/>
  <c r="E86" i="4"/>
  <c r="G85" i="4"/>
  <c r="F85" i="4"/>
  <c r="E85" i="4"/>
  <c r="G84" i="4"/>
  <c r="F84" i="4"/>
  <c r="E84" i="4"/>
  <c r="G83" i="4"/>
  <c r="F83" i="4"/>
  <c r="E83" i="4"/>
  <c r="G82" i="4"/>
  <c r="F82" i="4"/>
  <c r="E82" i="4"/>
  <c r="G81" i="4"/>
  <c r="F81" i="4"/>
  <c r="E81" i="4"/>
  <c r="G80" i="4"/>
  <c r="F80" i="4"/>
  <c r="E80" i="4"/>
  <c r="G79" i="4"/>
  <c r="F79" i="4"/>
  <c r="E79" i="4"/>
  <c r="G78" i="4"/>
  <c r="F78" i="4"/>
  <c r="E78" i="4"/>
  <c r="G77" i="4"/>
  <c r="F77" i="4"/>
  <c r="E77" i="4"/>
  <c r="G76" i="4"/>
  <c r="F76" i="4"/>
  <c r="E76" i="4"/>
  <c r="G75" i="4"/>
  <c r="F75" i="4"/>
  <c r="E75" i="4"/>
  <c r="G74" i="4"/>
  <c r="F74" i="4"/>
  <c r="E74" i="4"/>
  <c r="G73" i="4"/>
  <c r="F73" i="4"/>
  <c r="E73" i="4"/>
  <c r="G72" i="4"/>
  <c r="F72" i="4"/>
  <c r="E72" i="4"/>
  <c r="G71" i="4"/>
  <c r="F71" i="4"/>
  <c r="E71" i="4"/>
  <c r="G70" i="4"/>
  <c r="F70" i="4"/>
  <c r="E70" i="4"/>
  <c r="G69" i="4"/>
  <c r="F69" i="4"/>
  <c r="E69" i="4"/>
  <c r="G68" i="4"/>
  <c r="F68" i="4"/>
  <c r="E68" i="4"/>
  <c r="G67" i="4"/>
  <c r="F67" i="4"/>
  <c r="E67" i="4"/>
  <c r="G66" i="4"/>
  <c r="F66" i="4"/>
  <c r="E66" i="4"/>
  <c r="G65" i="4"/>
  <c r="F65" i="4"/>
  <c r="E65" i="4"/>
  <c r="G64" i="4"/>
  <c r="F64" i="4"/>
  <c r="E64" i="4"/>
  <c r="G63" i="4"/>
  <c r="F63" i="4"/>
  <c r="E63" i="4"/>
  <c r="G62" i="4"/>
  <c r="F62" i="4"/>
  <c r="E62" i="4"/>
  <c r="G61" i="4"/>
  <c r="F61" i="4"/>
  <c r="E61" i="4"/>
  <c r="G60" i="4"/>
  <c r="F60" i="4"/>
  <c r="E60" i="4"/>
  <c r="G59" i="4"/>
  <c r="F59" i="4"/>
  <c r="E59" i="4"/>
  <c r="G58" i="4"/>
  <c r="F58" i="4"/>
  <c r="E58" i="4"/>
  <c r="G57" i="4"/>
  <c r="F57" i="4"/>
  <c r="E57" i="4"/>
  <c r="G56" i="4"/>
  <c r="F56" i="4"/>
  <c r="E56" i="4"/>
  <c r="G55" i="4"/>
  <c r="F55" i="4"/>
  <c r="E55" i="4"/>
  <c r="G54" i="4"/>
  <c r="F54" i="4"/>
  <c r="E54" i="4"/>
  <c r="G53" i="4"/>
  <c r="F53" i="4"/>
  <c r="E53" i="4"/>
  <c r="G52" i="4"/>
  <c r="F52" i="4"/>
  <c r="E52" i="4"/>
  <c r="G51" i="4"/>
  <c r="F51" i="4"/>
  <c r="E51" i="4"/>
  <c r="G50" i="4"/>
  <c r="F50" i="4"/>
  <c r="E50" i="4"/>
  <c r="G49" i="4"/>
  <c r="F49" i="4"/>
  <c r="E49" i="4"/>
  <c r="G48" i="4"/>
  <c r="F48" i="4"/>
  <c r="E48" i="4"/>
  <c r="G47" i="4"/>
  <c r="F47" i="4"/>
  <c r="E47" i="4"/>
  <c r="G46" i="4"/>
  <c r="F46" i="4"/>
  <c r="E46" i="4"/>
  <c r="G45" i="4"/>
  <c r="F45" i="4"/>
  <c r="E45" i="4"/>
  <c r="G44" i="4"/>
  <c r="F44" i="4"/>
  <c r="E44" i="4"/>
  <c r="G43" i="4"/>
  <c r="F43" i="4"/>
  <c r="E43" i="4"/>
  <c r="G42" i="4"/>
  <c r="F42" i="4"/>
  <c r="E42" i="4"/>
  <c r="G41" i="4"/>
  <c r="F41" i="4"/>
  <c r="E41" i="4"/>
  <c r="G40" i="4"/>
  <c r="F40" i="4"/>
  <c r="E40" i="4"/>
  <c r="G39" i="4"/>
  <c r="F39" i="4"/>
  <c r="E39" i="4"/>
  <c r="G38" i="4"/>
  <c r="F38" i="4"/>
  <c r="E38" i="4"/>
  <c r="G37" i="4"/>
  <c r="F37" i="4"/>
  <c r="E37" i="4"/>
  <c r="G36" i="4"/>
  <c r="F36" i="4"/>
  <c r="E36" i="4"/>
  <c r="G35" i="4"/>
  <c r="F35" i="4"/>
  <c r="E35" i="4"/>
  <c r="G34" i="4"/>
  <c r="F34" i="4"/>
  <c r="E34" i="4"/>
  <c r="G33" i="4"/>
  <c r="F33" i="4"/>
  <c r="E33" i="4"/>
  <c r="G32" i="4"/>
  <c r="F32" i="4"/>
  <c r="E32" i="4"/>
  <c r="G31" i="4"/>
  <c r="F31" i="4"/>
  <c r="E31" i="4"/>
  <c r="G30" i="4"/>
  <c r="F30" i="4"/>
  <c r="E30" i="4"/>
  <c r="G29" i="4"/>
  <c r="F29" i="4"/>
  <c r="E29" i="4"/>
  <c r="G28" i="4"/>
  <c r="F28" i="4"/>
  <c r="E28" i="4"/>
  <c r="G27" i="4"/>
  <c r="F27" i="4"/>
  <c r="E27" i="4"/>
  <c r="G26" i="4"/>
  <c r="F26" i="4"/>
  <c r="E26" i="4"/>
  <c r="G25" i="4"/>
  <c r="F25" i="4"/>
  <c r="E25" i="4"/>
  <c r="G24" i="4"/>
  <c r="F24" i="4"/>
  <c r="E24" i="4"/>
  <c r="G23" i="4"/>
  <c r="F23" i="4"/>
  <c r="E23" i="4"/>
  <c r="G22" i="4"/>
  <c r="F22" i="4"/>
  <c r="E22" i="4"/>
  <c r="G21" i="4"/>
  <c r="F21" i="4"/>
  <c r="E21" i="4"/>
  <c r="G20" i="4"/>
  <c r="F20" i="4"/>
  <c r="E20" i="4"/>
  <c r="G19" i="4"/>
  <c r="F19" i="4"/>
  <c r="E19" i="4"/>
  <c r="G18" i="4"/>
  <c r="F18" i="4"/>
  <c r="E18" i="4"/>
  <c r="G17" i="4"/>
  <c r="F17" i="4"/>
  <c r="E17" i="4"/>
  <c r="G16" i="4"/>
  <c r="F16" i="4"/>
  <c r="E16" i="4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G10" i="4"/>
  <c r="F10" i="4"/>
  <c r="E10" i="4"/>
  <c r="G9" i="4"/>
  <c r="F9" i="4"/>
  <c r="E9" i="4"/>
  <c r="G8" i="4"/>
  <c r="F8" i="4"/>
  <c r="E8" i="4"/>
  <c r="G7" i="4"/>
  <c r="F7" i="4"/>
  <c r="E7" i="4"/>
  <c r="G6" i="4"/>
  <c r="F6" i="4"/>
  <c r="E6" i="4"/>
  <c r="G5" i="4"/>
  <c r="F5" i="4"/>
  <c r="E5" i="4"/>
  <c r="G4" i="4"/>
  <c r="F4" i="4"/>
  <c r="E4" i="4"/>
  <c r="G3" i="4"/>
  <c r="F3" i="4"/>
  <c r="E3" i="4"/>
  <c r="G2" i="4"/>
  <c r="F2" i="4"/>
  <c r="E2" i="4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<sst xmlns="http://schemas.openxmlformats.org/spreadsheetml/2006/main" count="1526" uniqueCount="207">
  <si>
    <t>Value</t>
  </si>
  <si>
    <t>Unit</t>
  </si>
  <si>
    <t>Depot</t>
  </si>
  <si>
    <t>Sector 88 Fruit &amp; Vegetable Mandi Cluster</t>
  </si>
  <si>
    <t>stations</t>
  </si>
  <si>
    <t>vehicles</t>
  </si>
  <si>
    <t>products</t>
  </si>
  <si>
    <t>Compartments per vehicle</t>
  </si>
  <si>
    <t>compartments</t>
  </si>
  <si>
    <t>kg</t>
  </si>
  <si>
    <t>Node type</t>
  </si>
  <si>
    <t>Location name</t>
  </si>
  <si>
    <t>Address / locality</t>
  </si>
  <si>
    <t>Latitude (deg)</t>
  </si>
  <si>
    <t>Longitude (deg)</t>
  </si>
  <si>
    <t>depot</t>
  </si>
  <si>
    <t>Sector 88, near fruit &amp; vegetable mandi, Noida, Uttar Pradesh</t>
  </si>
  <si>
    <t>C1</t>
  </si>
  <si>
    <t>C6</t>
  </si>
  <si>
    <t>customer</t>
  </si>
  <si>
    <t>Stellar Jeevan Retail Cluster</t>
  </si>
  <si>
    <t>Panchmukhi Chowk, Greater Noida West, Gautam Buddha Nagar, Uttar Pradesh</t>
  </si>
  <si>
    <t>C2</t>
  </si>
  <si>
    <t>C9</t>
  </si>
  <si>
    <t>Supertech Mart</t>
  </si>
  <si>
    <t>Service Road, Greater Noida West, Gautam Buddha Nagar, Uttar Pradesh</t>
  </si>
  <si>
    <t>C3</t>
  </si>
  <si>
    <t>C10</t>
  </si>
  <si>
    <t>PK Residency</t>
  </si>
  <si>
    <t>Hazipur, Noida, Gautam Buddha Nagar, Uttar Pradesh</t>
  </si>
  <si>
    <t>C4</t>
  </si>
  <si>
    <t>C11</t>
  </si>
  <si>
    <t>Delhi ENT Multispeciality Hospital</t>
  </si>
  <si>
    <t>District Centre, Jasola fringe, South East Delhi</t>
  </si>
  <si>
    <t>C5</t>
  </si>
  <si>
    <t>C12</t>
  </si>
  <si>
    <t>Avantika Hospital</t>
  </si>
  <si>
    <t>Vasundhara, Ghaziabad, Uttar Pradesh</t>
  </si>
  <si>
    <t>C13</t>
  </si>
  <si>
    <t>ANJULI Nursing Home</t>
  </si>
  <si>
    <t>Sector 78 fringe, Faridabad, Haryana</t>
  </si>
  <si>
    <t>C7</t>
  </si>
  <si>
    <t>C14</t>
  </si>
  <si>
    <t>Pacific Mall</t>
  </si>
  <si>
    <t>Vivek Vihar border, Delhi NCR</t>
  </si>
  <si>
    <t>C8</t>
  </si>
  <si>
    <t>C15</t>
  </si>
  <si>
    <t>Modi Mall</t>
  </si>
  <si>
    <t>Sector 10, Noida, Gautam Buddha Nagar, Uttar Pradesh</t>
  </si>
  <si>
    <t>C16</t>
  </si>
  <si>
    <t>Metro Multi Speciality Hospital</t>
  </si>
  <si>
    <t>Sector 16A fringe, Faridabad, Haryana</t>
  </si>
  <si>
    <t>C17</t>
  </si>
  <si>
    <t>Ashira Inn</t>
  </si>
  <si>
    <t>Knowledge Park III, Greater Noida, Gautam Buddha Nagar, Uttar Pradesh</t>
  </si>
  <si>
    <t>C18</t>
  </si>
  <si>
    <t>Sandal Hotel</t>
  </si>
  <si>
    <t>Bajidpur, Noida, Gautam Buddha Nagar, Uttar Pradesh</t>
  </si>
  <si>
    <t>C19</t>
  </si>
  <si>
    <t>Radisson Blu Greater Noida</t>
  </si>
  <si>
    <t>Sector 20, Greater Noida, Gautam Buddha Nagar, Uttar Pradesh</t>
  </si>
  <si>
    <t>C20</t>
  </si>
  <si>
    <t>Mayur Medicare Center</t>
  </si>
  <si>
    <t>Mayur Vihar fringe, East Delhi</t>
  </si>
  <si>
    <t>C21</t>
  </si>
  <si>
    <t>L.D. Hospital</t>
  </si>
  <si>
    <t>Badarpur fringe, South East Delhi</t>
  </si>
  <si>
    <t>C22</t>
  </si>
  <si>
    <t>Mohan Swarup Hospital</t>
  </si>
  <si>
    <t>Dadri Bypass, Dadri, Gautam Buddha Nagar, Uttar Pradesh</t>
  </si>
  <si>
    <t>C23</t>
  </si>
  <si>
    <t>Bennett University</t>
  </si>
  <si>
    <t>Madhaiya Maincha, Dadri, Gautam Buddha Nagar, Uttar Pradesh</t>
  </si>
  <si>
    <t>C24</t>
  </si>
  <si>
    <t>Shiv Nadar University</t>
  </si>
  <si>
    <t>Chithera, Dadri, Gautam Buddha Nagar, Uttar Pradesh</t>
  </si>
  <si>
    <t>C25</t>
  </si>
  <si>
    <t>Shikha Acupuncture Sanatorium</t>
  </si>
  <si>
    <t>NH9 site cluster, Ghaziabad border</t>
  </si>
  <si>
    <t>C26</t>
  </si>
  <si>
    <t>Government Hospital Dujana</t>
  </si>
  <si>
    <t>Grand Trunk Road, Dadri, Gautam Buddha Nagar, Uttar Pradesh</t>
  </si>
  <si>
    <t>C27</t>
  </si>
  <si>
    <t>Sakshi Medicare</t>
  </si>
  <si>
    <t>Nandagram Road, Ghaziabad border</t>
  </si>
  <si>
    <t>S1</t>
  </si>
  <si>
    <t>station</t>
  </si>
  <si>
    <t>Tata Power EV Charging Station, Wave One</t>
  </si>
  <si>
    <t>Wave One, Plot L2A, Sector 18, Noida, Uttar Pradesh</t>
  </si>
  <si>
    <t>S2</t>
  </si>
  <si>
    <t>NTPC EV Charging Station, Ecotech II</t>
  </si>
  <si>
    <t>E3, Ecotech II, Udyog Vihar, Greater Noida, Uttar Pradesh</t>
  </si>
  <si>
    <t>S3</t>
  </si>
  <si>
    <t>Adani Gas EV Charging Station, Gaur City Mall</t>
  </si>
  <si>
    <t>Gaur City Mall Multi Level Car Parking, Sector 04, Greater Noida West, Uttar Pradesh</t>
  </si>
  <si>
    <t>S4</t>
  </si>
  <si>
    <t>Tata Power EV Charging Station, Pari Chowk</t>
  </si>
  <si>
    <t>Pari Chowk, Greater Noida, Gautam Buddha Nagar, Uttar Pradesh</t>
  </si>
  <si>
    <t>Product A demand (kg)</t>
  </si>
  <si>
    <t>Product B demand (kg)</t>
  </si>
  <si>
    <t>Total demand (kg)</t>
  </si>
  <si>
    <t>Origin model node</t>
  </si>
  <si>
    <t>Destination model node</t>
  </si>
  <si>
    <t>Distance (km)</t>
  </si>
  <si>
    <t>Travel duration (h)</t>
  </si>
  <si>
    <t>Route cost (distance units)</t>
  </si>
  <si>
    <t>Alpha_ij (kWh)</t>
  </si>
  <si>
    <t>Beta_ij (kWh/kg)</t>
  </si>
  <si>
    <t>Parameter</t>
  </si>
  <si>
    <t>Definition / source note</t>
  </si>
  <si>
    <t>Base demand scale</t>
  </si>
  <si>
    <t>Multiplier</t>
  </si>
  <si>
    <t>Baseline parameter in build_real_case_data()</t>
  </si>
  <si>
    <t>Candidate fleet size</t>
  </si>
  <si>
    <t>Number of customers</t>
  </si>
  <si>
    <t>customers</t>
  </si>
  <si>
    <t>Selected customer IDs in build_real_case_data()</t>
  </si>
  <si>
    <t>Number of charging stations</t>
  </si>
  <si>
    <t>Station locations in the case data</t>
  </si>
  <si>
    <t>Number of products</t>
  </si>
  <si>
    <t>Product IDs A and B</t>
  </si>
  <si>
    <t>Compartment IDs L1 and L2</t>
  </si>
  <si>
    <t>Battery capacity per vehicle</t>
  </si>
  <si>
    <t>kWh</t>
  </si>
  <si>
    <t>Baseline case input; not a manufacturer-verified specification</t>
  </si>
  <si>
    <t>Minimum reserve state of charge</t>
  </si>
  <si>
    <t>safety_soc in build_real_case_data()</t>
  </si>
  <si>
    <t>Vehicle payload capacity</t>
  </si>
  <si>
    <t>vehicle_capacity in build_real_case_data()</t>
  </si>
  <si>
    <t>Compartment capacity</t>
  </si>
  <si>
    <t>kg per compartment</t>
  </si>
  <si>
    <t>compartment_capacity in build_real_case_data()</t>
  </si>
  <si>
    <t>Fixed cost per used vehicle</t>
  </si>
  <si>
    <t>objective units / vehicle</t>
  </si>
  <si>
    <t>fixed_cost; monetary calibration not documented</t>
  </si>
  <si>
    <t>Charging-time objective weight</t>
  </si>
  <si>
    <t>objective units / hour</t>
  </si>
  <si>
    <t>charge_time_weight baseline</t>
  </si>
  <si>
    <t>Tardiness objective weight</t>
  </si>
  <si>
    <t>tardiness_weight in build_real_case_data()</t>
  </si>
  <si>
    <t>Customer service time</t>
  </si>
  <si>
    <t>hours / customer</t>
  </si>
  <si>
    <t>service_time in build_real_case_data()</t>
  </si>
  <si>
    <t>Customer time-window open</t>
  </si>
  <si>
    <t>hours from horizon start</t>
  </si>
  <si>
    <t>Baseline customer time window</t>
  </si>
  <si>
    <t>Customer time-window close</t>
  </si>
  <si>
    <t>Depot/station window open</t>
  </si>
  <si>
    <t>Baseline time window for non-customers</t>
  </si>
  <si>
    <t>Depot/station window close</t>
  </si>
  <si>
    <t>Alpha distance factor</t>
  </si>
  <si>
    <t>kWh / km</t>
  </si>
  <si>
    <t>alpha_ij = factor times directed distance</t>
  </si>
  <si>
    <t>Beta distance factor</t>
  </si>
  <si>
    <t>kWh / (kg km)</t>
  </si>
  <si>
    <t>beta_ij = factor times directed distance</t>
  </si>
  <si>
    <t>Big-M parameter</t>
  </si>
  <si>
    <t>model units</t>
  </si>
  <si>
    <t>big_m in build_real_case_data()</t>
  </si>
  <si>
    <t>Charging station parameters</t>
  </si>
  <si>
    <t>Station ID</t>
  </si>
  <si>
    <t>Charging price coefficient (objective units / kWh)</t>
  </si>
  <si>
    <t>Full-charge time (h)</t>
  </si>
  <si>
    <t>Candidate vehicle fleet</t>
  </si>
  <si>
    <t>Vehicle ID</t>
  </si>
  <si>
    <t>Battery capacity (kWh)</t>
  </si>
  <si>
    <t>Reserve SOC (kWh)</t>
  </si>
  <si>
    <t>Payload capacity (kg)</t>
  </si>
  <si>
    <t>L1 capacity (kg)</t>
  </si>
  <si>
    <t>L2 capacity (kg)</t>
  </si>
  <si>
    <t>Fixed cost (objective units)</t>
  </si>
  <si>
    <t>V1</t>
  </si>
  <si>
    <t>V2</t>
  </si>
  <si>
    <t>V3</t>
  </si>
  <si>
    <t>V4</t>
  </si>
  <si>
    <t>V5</t>
  </si>
  <si>
    <t>V6</t>
  </si>
  <si>
    <t>V7</t>
  </si>
  <si>
    <t>Compartment capacity and product compatibility</t>
  </si>
  <si>
    <t>Compartment ID</t>
  </si>
  <si>
    <t>Capacity (kg)</t>
  </si>
  <si>
    <t>Product A compatible (1=yes)</t>
  </si>
  <si>
    <t>Product B compatible (1=yes)</t>
  </si>
  <si>
    <t>L1</t>
  </si>
  <si>
    <t>L2</t>
  </si>
  <si>
    <t>Breakpoint ID</t>
  </si>
  <si>
    <t>SOC fraction</t>
  </si>
  <si>
    <t>Energy at breakpoint (kWh)</t>
  </si>
  <si>
    <t>Cumulative charge time gamma (h)</t>
  </si>
  <si>
    <t>B0</t>
  </si>
  <si>
    <t>B1</t>
  </si>
  <si>
    <t>B2</t>
  </si>
  <si>
    <t>B3</t>
  </si>
  <si>
    <t>Level</t>
  </si>
  <si>
    <t>Level unit</t>
  </si>
  <si>
    <t>Mean cost (objective units)</t>
  </si>
  <si>
    <t>Population SD cost</t>
  </si>
  <si>
    <t>Mean runtime (s)</t>
  </si>
  <si>
    <t>Mean vehicles used</t>
  </si>
  <si>
    <t>Runs per level</t>
  </si>
  <si>
    <t>Iterations per run</t>
  </si>
  <si>
    <t>Battery capacity</t>
  </si>
  <si>
    <t>Demand scale</t>
  </si>
  <si>
    <t>multiplier</t>
  </si>
  <si>
    <t>Fleet size</t>
  </si>
  <si>
    <t>Node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</si>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</sst>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00000"/>
    <numFmt numFmtId="166" formatCode="0.0000"/>
    <numFmt numFmtId="167" formatCode="0.000000000"/>
    <numFmt numFmtId="168" formatCode="0.0"/>
    <numFmt numFmtId="169" formatCode="0.0%"/>
    <numFmt numFmtId="170" formatCode="#,##0.000"/>
  </numFmts>
  <fonts count="3">
    <font>
      <sz val="11"/>
      <name val="Carlito"/>
    </font>
    <font>
      <sz val="10"/>
      <color rgb="FF253746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364D"/>
      </patternFill>
    </fill>
  </fills>
  <borders count="9">
    <border>
      <left/>
      <right/>
      <top/>
      <bottom/>
      <diagonal/>
    </border>
    <border>
      <left style="thin">
        <color rgb="FFCFD8E1"/>
      </left>
      <right/>
      <top style="thin">
        <color rgb="FFCFD8E1"/>
      </top>
      <bottom/>
      <diagonal/>
    </border>
    <border>
      <left/>
      <right/>
      <top style="thin">
        <color rgb="FFCFD8E1"/>
      </top>
      <bottom/>
      <diagonal/>
    </border>
    <border>
      <left/>
      <right style="thin">
        <color rgb="FFCFD8E1"/>
      </right>
      <top style="thin">
        <color rgb="FFCFD8E1"/>
      </top>
      <bottom/>
      <diagonal/>
    </border>
    <border>
      <left style="thin">
        <color rgb="FFCFD8E1"/>
      </left>
      <right/>
      <top/>
      <bottom/>
      <diagonal/>
    </border>
    <border>
      <left/>
      <right style="thin">
        <color rgb="FFCFD8E1"/>
      </right>
      <top/>
      <bottom/>
      <diagonal/>
    </border>
    <border>
      <left style="thin">
        <color rgb="FFCFD8E1"/>
      </left>
      <right/>
      <top/>
      <bottom style="thin">
        <color rgb="FFCFD8E1"/>
      </bottom>
      <diagonal/>
    </border>
    <border>
      <left/>
      <right/>
      <top/>
      <bottom style="thin">
        <color rgb="FFCFD8E1"/>
      </bottom>
      <diagonal/>
    </border>
    <border>
      <left/>
      <right style="thin">
        <color rgb="FFCFD8E1"/>
      </right>
      <top/>
      <bottom style="thin">
        <color rgb="FFCFD8E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165" fontId="1" fillId="0" borderId="2" xfId="0" applyNumberFormat="1" applyFont="1" applyBorder="1" applyAlignment="1">
      <alignment vertical="center"/>
    </xf>
    <xf numFmtId="165" fontId="1" fillId="0" borderId="0" xfId="0" applyNumberFormat="1" applyFont="1" applyAlignment="1">
      <alignment vertical="center"/>
    </xf>
    <xf numFmtId="165" fontId="1" fillId="0" borderId="7" xfId="0" applyNumberFormat="1" applyFont="1" applyBorder="1" applyAlignment="1">
      <alignment vertical="center"/>
    </xf>
    <xf numFmtId="4" fontId="1" fillId="0" borderId="0" xfId="0" applyNumberFormat="1" applyFont="1" applyAlignment="1">
      <alignment vertical="center"/>
    </xf>
    <xf numFmtId="4" fontId="1" fillId="0" borderId="2" xfId="0" applyNumberFormat="1" applyFont="1" applyBorder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4" fontId="1" fillId="0" borderId="7" xfId="0" applyNumberFormat="1" applyFont="1" applyBorder="1" applyAlignment="1">
      <alignment vertical="center" wrapText="1"/>
    </xf>
    <xf numFmtId="164" fontId="1" fillId="0" borderId="2" xfId="0" applyNumberFormat="1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166" fontId="1" fillId="0" borderId="2" xfId="0" applyNumberFormat="1" applyFont="1" applyBorder="1" applyAlignment="1">
      <alignment vertical="center"/>
    </xf>
    <xf numFmtId="166" fontId="1" fillId="0" borderId="0" xfId="0" applyNumberFormat="1" applyFont="1" applyAlignment="1">
      <alignment vertical="center"/>
    </xf>
    <xf numFmtId="166" fontId="1" fillId="0" borderId="7" xfId="0" applyNumberFormat="1" applyFont="1" applyBorder="1" applyAlignment="1">
      <alignment vertical="center"/>
    </xf>
    <xf numFmtId="167" fontId="1" fillId="0" borderId="2" xfId="0" applyNumberFormat="1" applyFont="1" applyBorder="1" applyAlignment="1">
      <alignment vertical="center"/>
    </xf>
    <xf numFmtId="167" fontId="1" fillId="0" borderId="0" xfId="0" applyNumberFormat="1" applyFont="1" applyAlignment="1">
      <alignment vertical="center"/>
    </xf>
    <xf numFmtId="167" fontId="1" fillId="0" borderId="7" xfId="0" applyNumberFormat="1" applyFont="1" applyBorder="1" applyAlignment="1">
      <alignment vertical="center"/>
    </xf>
    <xf numFmtId="2" fontId="1" fillId="0" borderId="2" xfId="0" applyNumberFormat="1" applyFont="1" applyBorder="1" applyAlignment="1">
      <alignment vertical="center"/>
    </xf>
    <xf numFmtId="2" fontId="1" fillId="0" borderId="0" xfId="0" applyNumberFormat="1" applyFont="1" applyAlignment="1">
      <alignment vertical="center"/>
    </xf>
    <xf numFmtId="2" fontId="1" fillId="0" borderId="7" xfId="0" applyNumberFormat="1" applyFont="1" applyBorder="1" applyAlignment="1">
      <alignment vertical="center"/>
    </xf>
    <xf numFmtId="168" fontId="1" fillId="0" borderId="3" xfId="0" applyNumberFormat="1" applyFont="1" applyBorder="1" applyAlignment="1">
      <alignment vertical="center"/>
    </xf>
    <xf numFmtId="168" fontId="1" fillId="0" borderId="5" xfId="0" applyNumberFormat="1" applyFont="1" applyBorder="1" applyAlignment="1">
      <alignment vertical="center"/>
    </xf>
    <xf numFmtId="168" fontId="1" fillId="0" borderId="8" xfId="0" applyNumberFormat="1" applyFont="1" applyBorder="1" applyAlignment="1">
      <alignment vertical="center"/>
    </xf>
    <xf numFmtId="168" fontId="1" fillId="0" borderId="2" xfId="0" applyNumberFormat="1" applyFont="1" applyBorder="1" applyAlignment="1">
      <alignment vertical="center"/>
    </xf>
    <xf numFmtId="168" fontId="1" fillId="0" borderId="0" xfId="0" applyNumberFormat="1" applyFont="1" applyAlignment="1">
      <alignment vertical="center"/>
    </xf>
    <xf numFmtId="168" fontId="1" fillId="0" borderId="7" xfId="0" applyNumberFormat="1" applyFont="1" applyBorder="1" applyAlignment="1">
      <alignment vertical="center"/>
    </xf>
    <xf numFmtId="3" fontId="1" fillId="0" borderId="2" xfId="0" applyNumberFormat="1" applyFont="1" applyBorder="1" applyAlignment="1">
      <alignment vertical="center"/>
    </xf>
    <xf numFmtId="3" fontId="1" fillId="0" borderId="3" xfId="0" applyNumberFormat="1" applyFont="1" applyBorder="1" applyAlignment="1">
      <alignment vertical="center"/>
    </xf>
    <xf numFmtId="3" fontId="1" fillId="0" borderId="0" xfId="0" applyNumberFormat="1" applyFont="1" applyAlignment="1">
      <alignment vertical="center"/>
    </xf>
    <xf numFmtId="3" fontId="1" fillId="0" borderId="5" xfId="0" applyNumberFormat="1" applyFont="1" applyBorder="1" applyAlignment="1">
      <alignment vertical="center"/>
    </xf>
    <xf numFmtId="3" fontId="1" fillId="0" borderId="7" xfId="0" applyNumberFormat="1" applyFont="1" applyBorder="1" applyAlignment="1">
      <alignment vertical="center"/>
    </xf>
    <xf numFmtId="3" fontId="1" fillId="0" borderId="8" xfId="0" applyNumberFormat="1" applyFont="1" applyBorder="1" applyAlignment="1">
      <alignment vertical="center"/>
    </xf>
    <xf numFmtId="169" fontId="1" fillId="0" borderId="2" xfId="0" applyNumberFormat="1" applyFont="1" applyBorder="1" applyAlignment="1">
      <alignment vertical="center"/>
    </xf>
    <xf numFmtId="169" fontId="1" fillId="0" borderId="0" xfId="0" applyNumberFormat="1" applyFont="1" applyAlignment="1">
      <alignment vertical="center"/>
    </xf>
    <xf numFmtId="169" fontId="1" fillId="0" borderId="7" xfId="0" applyNumberFormat="1" applyFont="1" applyBorder="1" applyAlignment="1">
      <alignment vertical="center"/>
    </xf>
    <xf numFmtId="170" fontId="1" fillId="0" borderId="2" xfId="0" applyNumberFormat="1" applyFont="1" applyBorder="1" applyAlignment="1">
      <alignment vertical="center"/>
    </xf>
    <xf numFmtId="170" fontId="1" fillId="0" borderId="0" xfId="0" applyNumberFormat="1" applyFont="1" applyAlignment="1">
      <alignment vertical="center"/>
    </xf>
    <xf numFmtId="170" fontId="1" fillId="0" borderId="7" xfId="0" applyNumberFormat="1" applyFont="1" applyBorder="1" applyAlignment="1">
      <alignment vertical="center"/>
    </xf>
    <xf numFmtId="1" fontId="1" fillId="0" borderId="0" xfId="0" applyNumberFormat="1" applyFont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 wrapText="1"/>
    </xf>
    <xf numFmtId="165" fontId="1" fillId="0" borderId="2" xfId="0" applyNumberFormat="1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165" fontId="1" fillId="0" borderId="0" xfId="0" applyNumberFormat="1" applyFont="1" applyFill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 wrapText="1"/>
    </xf>
    <xf numFmtId="165" fontId="1" fillId="0" borderId="7" xfId="0" applyNumberFormat="1" applyFont="1" applyFill="1" applyBorder="1" applyAlignment="1">
      <alignment vertical="center"/>
    </xf>
  </cellXfs>
  <cellStyles count="1">
    <cellStyle name="Normal" xfId="0" builtinId="0"/>
  </cellStyles>
  <dxfs count="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seLocationsTable" displayName="CaseLocationsTable" ref="A1:F26" totalsRowShown="0" dataDxfId="0">
  <autoFilter ref="A1:F26" xr:uid="{00000000-0009-0000-0100-000003000000}"/>
  <tableColumns count="6">
    <tableColumn id="1" xr3:uid="{00000000-0010-0000-0200-000001000000}" name="Node" dataDxfId="6"/>
    <tableColumn id="3" xr3:uid="{00000000-0010-0000-0200-000003000000}" name="Node type" dataDxfId="5"/>
    <tableColumn id="4" xr3:uid="{00000000-0010-0000-0200-000004000000}" name="Location name" dataDxfId="4"/>
    <tableColumn id="5" xr3:uid="{00000000-0010-0000-0200-000005000000}" name="Address / locality" dataDxfId="3"/>
    <tableColumn id="6" xr3:uid="{00000000-0010-0000-0200-000006000000}" name="Latitude (deg)" dataDxfId="2"/>
    <tableColumn id="7" xr3:uid="{00000000-0010-0000-0200-000007000000}" name="Longitude (deg)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ustomerDemandTable" displayName="CustomerDemandTable" ref="A1:E21" totalsRowShown="0">
  <autoFilter ref="A1:E21" xr:uid="{00000000-0009-0000-0100-000004000000}"/>
  <tableColumns count="5">
    <tableColumn id="1" xr3:uid="{00000000-0010-0000-0300-000001000000}" name="Customer"/>
    <tableColumn id="3" xr3:uid="{00000000-0010-0000-0300-000003000000}" name="Location name"/>
    <tableColumn id="4" xr3:uid="{00000000-0010-0000-0300-000004000000}" name="Product A demand (kg)"/>
    <tableColumn id="5" xr3:uid="{00000000-0010-0000-0300-000005000000}" name="Product B demand (kg)"/>
    <tableColumn id="6" xr3:uid="{00000000-0010-0000-0300-000006000000}" name="Total demand (kg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electedRoadArcsTable" displayName="SelectedRoadArcsTable" ref="A1:G601" totalsRowShown="0">
  <autoFilter ref="A1:G601" xr:uid="{00000000-0009-0000-0100-000005000000}"/>
  <tableColumns count="7">
    <tableColumn id="1" xr3:uid="{00000000-0010-0000-0400-000001000000}" name="Origin model node"/>
    <tableColumn id="2" xr3:uid="{00000000-0010-0000-0400-000002000000}" name="Destination model node"/>
    <tableColumn id="3" xr3:uid="{00000000-0010-0000-0400-000003000000}" name="Distance (km)"/>
    <tableColumn id="4" xr3:uid="{00000000-0010-0000-0400-000004000000}" name="Travel duration (h)"/>
    <tableColumn id="5" xr3:uid="{00000000-0010-0000-0400-000005000000}" name="Route cost (distance units)"/>
    <tableColumn id="6" xr3:uid="{00000000-0010-0000-0400-000006000000}" name="Alpha_ij (kWh)"/>
    <tableColumn id="7" xr3:uid="{00000000-0010-0000-0400-000007000000}" name="Beta_ij (kWh/kg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GlobalModelInputsTable" displayName="GlobalModelInputsTable" ref="A1:D22" totalsRowShown="0">
  <autoFilter ref="A1:D22" xr:uid="{00000000-0009-0000-0100-000006000000}"/>
  <tableColumns count="4">
    <tableColumn id="1" xr3:uid="{00000000-0010-0000-0500-000001000000}" name="Parameter"/>
    <tableColumn id="2" xr3:uid="{00000000-0010-0000-0500-000002000000}" name="Value"/>
    <tableColumn id="3" xr3:uid="{00000000-0010-0000-0500-000003000000}" name="Unit"/>
    <tableColumn id="4" xr3:uid="{00000000-0010-0000-0500-000004000000}" name="Definition / source 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tationParametersTable" displayName="StationParametersTable" ref="A26:C30" totalsRowShown="0">
  <autoFilter ref="A26:C30" xr:uid="{00000000-0009-0000-0100-000007000000}"/>
  <tableColumns count="3">
    <tableColumn id="1" xr3:uid="{00000000-0010-0000-0600-000001000000}" name="Station ID"/>
    <tableColumn id="2" xr3:uid="{00000000-0010-0000-0600-000002000000}" name="Charging price coefficient (objective units / kWh)"/>
    <tableColumn id="3" xr3:uid="{00000000-0010-0000-0600-000003000000}" name="Full-charge time (h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VehicleFleetTable" displayName="VehicleFleetTable" ref="A34:G41" totalsRowShown="0">
  <autoFilter ref="A34:G41" xr:uid="{00000000-0009-0000-0100-000008000000}"/>
  <tableColumns count="7">
    <tableColumn id="1" xr3:uid="{00000000-0010-0000-0700-000001000000}" name="Vehicle ID"/>
    <tableColumn id="2" xr3:uid="{00000000-0010-0000-0700-000002000000}" name="Battery capacity (kWh)"/>
    <tableColumn id="3" xr3:uid="{00000000-0010-0000-0700-000003000000}" name="Reserve SOC (kWh)"/>
    <tableColumn id="4" xr3:uid="{00000000-0010-0000-0700-000004000000}" name="Payload capacity (kg)"/>
    <tableColumn id="5" xr3:uid="{00000000-0010-0000-0700-000005000000}" name="L1 capacity (kg)"/>
    <tableColumn id="6" xr3:uid="{00000000-0010-0000-0700-000006000000}" name="L2 capacity (kg)"/>
    <tableColumn id="7" xr3:uid="{00000000-0010-0000-0700-000007000000}" name="Fixed cost (objective units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mpartmentCompatibilityTable" displayName="CompartmentCompatibilityTable" ref="A45:D47" totalsRowShown="0">
  <autoFilter ref="A45:D47" xr:uid="{00000000-0009-0000-0100-000009000000}"/>
  <tableColumns count="4">
    <tableColumn id="1" xr3:uid="{00000000-0010-0000-0800-000001000000}" name="Compartment ID"/>
    <tableColumn id="2" xr3:uid="{00000000-0010-0000-0800-000002000000}" name="Capacity (kg)"/>
    <tableColumn id="3" xr3:uid="{00000000-0010-0000-0800-000003000000}" name="Product A compatible (1=yes)"/>
    <tableColumn id="4" xr3:uid="{00000000-0010-0000-0800-000004000000}" name="Product B compatible (1=yes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hargingCurveTable" displayName="ChargingCurveTable" ref="A1:F17" totalsRowShown="0">
  <autoFilter ref="A1:F17" xr:uid="{00000000-0009-0000-0100-00000A000000}"/>
  <tableColumns count="6">
    <tableColumn id="1" xr3:uid="{00000000-0010-0000-0900-000001000000}" name="Station ID"/>
    <tableColumn id="2" xr3:uid="{00000000-0010-0000-0900-000002000000}" name="Breakpoint ID"/>
    <tableColumn id="3" xr3:uid="{00000000-0010-0000-0900-000003000000}" name="SOC fraction"/>
    <tableColumn id="4" xr3:uid="{00000000-0010-0000-0900-000004000000}" name="Energy at breakpoint (kWh)"/>
    <tableColumn id="5" xr3:uid="{00000000-0010-0000-0900-000005000000}" name="Full-charge time (h)"/>
    <tableColumn id="6" xr3:uid="{00000000-0010-0000-0900-000006000000}" name="Cumulative charge time gamma (h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NoidaSensitivityResultsTable" displayName="NoidaSensitivityResultsTable" ref="A1:I13" totalsRowShown="0">
  <autoFilter ref="A1:I13" xr:uid="{00000000-0009-0000-0100-00000B000000}"/>
  <tableColumns count="9">
    <tableColumn id="1" xr3:uid="{00000000-0010-0000-0A00-000001000000}" name="Parameter"/>
    <tableColumn id="2" xr3:uid="{00000000-0010-0000-0A00-000002000000}" name="Level"/>
    <tableColumn id="3" xr3:uid="{00000000-0010-0000-0A00-000003000000}" name="Level unit"/>
    <tableColumn id="4" xr3:uid="{00000000-0010-0000-0A00-000004000000}" name="Mean cost (objective units)"/>
    <tableColumn id="5" xr3:uid="{00000000-0010-0000-0A00-000005000000}" name="Population SD cost"/>
    <tableColumn id="6" xr3:uid="{00000000-0010-0000-0A00-000006000000}" name="Mean runtime (s)"/>
    <tableColumn id="7" xr3:uid="{00000000-0010-0000-0A00-000007000000}" name="Mean vehicles used"/>
    <tableColumn id="8" xr3:uid="{00000000-0010-0000-0A00-000008000000}" name="Runs per level"/>
    <tableColumn id="9" xr3:uid="{00000000-0010-0000-0A00-000009000000}" name="Iterations per ru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D8" sqref="D8"/>
    </sheetView>
  </sheetViews>
  <sheetFormatPr defaultRowHeight="14.25"/>
  <cols>
    <col min="1" max="1" width="9" bestFit="1" customWidth="1"/>
    <col min="2" max="2" width="12.875" bestFit="1" customWidth="1"/>
    <col min="3" max="3" width="35.875" bestFit="1" customWidth="1"/>
    <col min="4" max="4" width="57.625" bestFit="1" customWidth="1"/>
    <col min="5" max="5" width="15.875" bestFit="1" customWidth="1"/>
    <col min="6" max="6" width="17.5" bestFit="1" customWidth="1"/>
  </cols>
  <sheetData>
    <row r="1" spans="1:6" ht="32.1" customHeight="1">
      <c r="A1" s="3" t="s">
        <v>205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</row>
    <row r="2" spans="1:6" ht="32.1" customHeight="1">
      <c r="A2" s="55" t="s">
        <v>2</v>
      </c>
      <c r="B2" s="56" t="s">
        <v>15</v>
      </c>
      <c r="C2" s="57" t="s">
        <v>3</v>
      </c>
      <c r="D2" s="57" t="s">
        <v>16</v>
      </c>
      <c r="E2" s="58">
        <v>28.531110999999999</v>
      </c>
      <c r="F2" s="58">
        <v>77.424999999999997</v>
      </c>
    </row>
    <row r="3" spans="1:6" ht="32.1" customHeight="1">
      <c r="A3" s="59" t="s">
        <v>17</v>
      </c>
      <c r="B3" s="60" t="s">
        <v>19</v>
      </c>
      <c r="C3" s="61" t="s">
        <v>20</v>
      </c>
      <c r="D3" s="61" t="s">
        <v>21</v>
      </c>
      <c r="E3" s="62">
        <v>28.565432000000001</v>
      </c>
      <c r="F3" s="62">
        <v>77.447957000000002</v>
      </c>
    </row>
    <row r="4" spans="1:6" ht="32.1" customHeight="1">
      <c r="A4" s="59" t="s">
        <v>22</v>
      </c>
      <c r="B4" s="60" t="s">
        <v>19</v>
      </c>
      <c r="C4" s="61" t="s">
        <v>24</v>
      </c>
      <c r="D4" s="61" t="s">
        <v>25</v>
      </c>
      <c r="E4" s="62">
        <v>28.610201</v>
      </c>
      <c r="F4" s="62">
        <v>77.441602000000003</v>
      </c>
    </row>
    <row r="5" spans="1:6" ht="32.1" customHeight="1">
      <c r="A5" s="59" t="s">
        <v>26</v>
      </c>
      <c r="B5" s="60" t="s">
        <v>19</v>
      </c>
      <c r="C5" s="61" t="s">
        <v>28</v>
      </c>
      <c r="D5" s="61" t="s">
        <v>29</v>
      </c>
      <c r="E5" s="62">
        <v>28.536994</v>
      </c>
      <c r="F5" s="62">
        <v>77.365943000000001</v>
      </c>
    </row>
    <row r="6" spans="1:6" ht="32.1" customHeight="1">
      <c r="A6" s="59" t="s">
        <v>30</v>
      </c>
      <c r="B6" s="60" t="s">
        <v>19</v>
      </c>
      <c r="C6" s="61" t="s">
        <v>32</v>
      </c>
      <c r="D6" s="61" t="s">
        <v>33</v>
      </c>
      <c r="E6" s="62">
        <v>28.539926000000001</v>
      </c>
      <c r="F6" s="62">
        <v>77.292145000000005</v>
      </c>
    </row>
    <row r="7" spans="1:6" ht="32.1" customHeight="1">
      <c r="A7" s="59" t="s">
        <v>34</v>
      </c>
      <c r="B7" s="60" t="s">
        <v>19</v>
      </c>
      <c r="C7" s="61" t="s">
        <v>36</v>
      </c>
      <c r="D7" s="61" t="s">
        <v>37</v>
      </c>
      <c r="E7" s="62">
        <v>28.645553</v>
      </c>
      <c r="F7" s="62">
        <v>77.371756000000005</v>
      </c>
    </row>
    <row r="8" spans="1:6" ht="32.1" customHeight="1">
      <c r="A8" s="59" t="s">
        <v>18</v>
      </c>
      <c r="B8" s="60" t="s">
        <v>19</v>
      </c>
      <c r="C8" s="61" t="s">
        <v>39</v>
      </c>
      <c r="D8" s="61" t="s">
        <v>40</v>
      </c>
      <c r="E8" s="62">
        <v>28.400030999999998</v>
      </c>
      <c r="F8" s="62">
        <v>77.368854999999996</v>
      </c>
    </row>
    <row r="9" spans="1:6" ht="32.1" customHeight="1">
      <c r="A9" s="59" t="s">
        <v>41</v>
      </c>
      <c r="B9" s="60" t="s">
        <v>19</v>
      </c>
      <c r="C9" s="61" t="s">
        <v>43</v>
      </c>
      <c r="D9" s="61" t="s">
        <v>44</v>
      </c>
      <c r="E9" s="62">
        <v>28.646305999999999</v>
      </c>
      <c r="F9" s="62">
        <v>77.320255000000003</v>
      </c>
    </row>
    <row r="10" spans="1:6" ht="32.1" customHeight="1">
      <c r="A10" s="59" t="s">
        <v>45</v>
      </c>
      <c r="B10" s="60" t="s">
        <v>19</v>
      </c>
      <c r="C10" s="61" t="s">
        <v>47</v>
      </c>
      <c r="D10" s="61" t="s">
        <v>48</v>
      </c>
      <c r="E10" s="62">
        <v>28.586297999999999</v>
      </c>
      <c r="F10" s="62">
        <v>77.341161</v>
      </c>
    </row>
    <row r="11" spans="1:6" ht="32.1" customHeight="1">
      <c r="A11" s="59" t="s">
        <v>23</v>
      </c>
      <c r="B11" s="60" t="s">
        <v>19</v>
      </c>
      <c r="C11" s="61" t="s">
        <v>50</v>
      </c>
      <c r="D11" s="61" t="s">
        <v>51</v>
      </c>
      <c r="E11" s="62">
        <v>28.406521000000001</v>
      </c>
      <c r="F11" s="62">
        <v>77.317922999999993</v>
      </c>
    </row>
    <row r="12" spans="1:6" ht="32.1" customHeight="1">
      <c r="A12" s="59" t="s">
        <v>27</v>
      </c>
      <c r="B12" s="60" t="s">
        <v>19</v>
      </c>
      <c r="C12" s="61" t="s">
        <v>53</v>
      </c>
      <c r="D12" s="61" t="s">
        <v>54</v>
      </c>
      <c r="E12" s="62">
        <v>28.476699</v>
      </c>
      <c r="F12" s="62">
        <v>77.476816999999997</v>
      </c>
    </row>
    <row r="13" spans="1:6" ht="32.1" customHeight="1">
      <c r="A13" s="59" t="s">
        <v>31</v>
      </c>
      <c r="B13" s="60" t="s">
        <v>19</v>
      </c>
      <c r="C13" s="61" t="s">
        <v>56</v>
      </c>
      <c r="D13" s="61" t="s">
        <v>57</v>
      </c>
      <c r="E13" s="62">
        <v>28.495560000000001</v>
      </c>
      <c r="F13" s="62">
        <v>77.402620999999996</v>
      </c>
    </row>
    <row r="14" spans="1:6" ht="32.1" customHeight="1">
      <c r="A14" s="59" t="s">
        <v>35</v>
      </c>
      <c r="B14" s="60" t="s">
        <v>19</v>
      </c>
      <c r="C14" s="61" t="s">
        <v>59</v>
      </c>
      <c r="D14" s="61" t="s">
        <v>60</v>
      </c>
      <c r="E14" s="62">
        <v>28.449850000000001</v>
      </c>
      <c r="F14" s="62">
        <v>77.527765000000002</v>
      </c>
    </row>
    <row r="15" spans="1:6" ht="32.1" customHeight="1">
      <c r="A15" s="59" t="s">
        <v>38</v>
      </c>
      <c r="B15" s="60" t="s">
        <v>19</v>
      </c>
      <c r="C15" s="61" t="s">
        <v>62</v>
      </c>
      <c r="D15" s="61" t="s">
        <v>63</v>
      </c>
      <c r="E15" s="62">
        <v>28.606058000000001</v>
      </c>
      <c r="F15" s="62">
        <v>77.293379999999999</v>
      </c>
    </row>
    <row r="16" spans="1:6" ht="32.1" customHeight="1">
      <c r="A16" s="59" t="s">
        <v>42</v>
      </c>
      <c r="B16" s="60" t="s">
        <v>19</v>
      </c>
      <c r="C16" s="61" t="s">
        <v>65</v>
      </c>
      <c r="D16" s="61" t="s">
        <v>66</v>
      </c>
      <c r="E16" s="62">
        <v>28.500402000000001</v>
      </c>
      <c r="F16" s="62">
        <v>77.323279999999997</v>
      </c>
    </row>
    <row r="17" spans="1:6" ht="32.1" customHeight="1">
      <c r="A17" s="59" t="s">
        <v>46</v>
      </c>
      <c r="B17" s="60" t="s">
        <v>19</v>
      </c>
      <c r="C17" s="61" t="s">
        <v>68</v>
      </c>
      <c r="D17" s="61" t="s">
        <v>69</v>
      </c>
      <c r="E17" s="62">
        <v>28.566876000000001</v>
      </c>
      <c r="F17" s="62">
        <v>77.541120000000006</v>
      </c>
    </row>
    <row r="18" spans="1:6" ht="32.1" customHeight="1">
      <c r="A18" s="59" t="s">
        <v>49</v>
      </c>
      <c r="B18" s="60" t="s">
        <v>19</v>
      </c>
      <c r="C18" s="61" t="s">
        <v>71</v>
      </c>
      <c r="D18" s="61" t="s">
        <v>72</v>
      </c>
      <c r="E18" s="62">
        <v>28.450642999999999</v>
      </c>
      <c r="F18" s="62">
        <v>77.583798000000002</v>
      </c>
    </row>
    <row r="19" spans="1:6" ht="32.1" customHeight="1">
      <c r="A19" s="59" t="s">
        <v>52</v>
      </c>
      <c r="B19" s="60" t="s">
        <v>19</v>
      </c>
      <c r="C19" s="61" t="s">
        <v>74</v>
      </c>
      <c r="D19" s="61" t="s">
        <v>75</v>
      </c>
      <c r="E19" s="62">
        <v>28.525805999999999</v>
      </c>
      <c r="F19" s="62">
        <v>77.574753000000001</v>
      </c>
    </row>
    <row r="20" spans="1:6" ht="32.1" customHeight="1">
      <c r="A20" s="59" t="s">
        <v>55</v>
      </c>
      <c r="B20" s="60" t="s">
        <v>19</v>
      </c>
      <c r="C20" s="61" t="s">
        <v>77</v>
      </c>
      <c r="D20" s="61" t="s">
        <v>78</v>
      </c>
      <c r="E20" s="62">
        <v>28.653956999999998</v>
      </c>
      <c r="F20" s="62">
        <v>77.471762999999996</v>
      </c>
    </row>
    <row r="21" spans="1:6" ht="32.1" customHeight="1">
      <c r="A21" s="59" t="s">
        <v>58</v>
      </c>
      <c r="B21" s="60" t="s">
        <v>19</v>
      </c>
      <c r="C21" s="61" t="s">
        <v>80</v>
      </c>
      <c r="D21" s="61" t="s">
        <v>81</v>
      </c>
      <c r="E21" s="62">
        <v>28.622719</v>
      </c>
      <c r="F21" s="62">
        <v>77.509977000000006</v>
      </c>
    </row>
    <row r="22" spans="1:6" ht="32.1" customHeight="1">
      <c r="A22" s="59" t="s">
        <v>61</v>
      </c>
      <c r="B22" s="60" t="s">
        <v>19</v>
      </c>
      <c r="C22" s="61" t="s">
        <v>83</v>
      </c>
      <c r="D22" s="61" t="s">
        <v>84</v>
      </c>
      <c r="E22" s="62">
        <v>28.686392000000001</v>
      </c>
      <c r="F22" s="62">
        <v>77.416909000000004</v>
      </c>
    </row>
    <row r="23" spans="1:6" ht="32.1" customHeight="1">
      <c r="A23" s="59" t="s">
        <v>85</v>
      </c>
      <c r="B23" s="60" t="s">
        <v>86</v>
      </c>
      <c r="C23" s="61" t="s">
        <v>87</v>
      </c>
      <c r="D23" s="61" t="s">
        <v>88</v>
      </c>
      <c r="E23" s="62">
        <v>28.570485999999999</v>
      </c>
      <c r="F23" s="62">
        <v>77.323652999999993</v>
      </c>
    </row>
    <row r="24" spans="1:6" ht="32.1" customHeight="1">
      <c r="A24" s="59" t="s">
        <v>89</v>
      </c>
      <c r="B24" s="60" t="s">
        <v>86</v>
      </c>
      <c r="C24" s="61" t="s">
        <v>90</v>
      </c>
      <c r="D24" s="61" t="s">
        <v>91</v>
      </c>
      <c r="E24" s="62">
        <v>28.504521</v>
      </c>
      <c r="F24" s="62">
        <v>77.464185000000001</v>
      </c>
    </row>
    <row r="25" spans="1:6" ht="32.1" customHeight="1">
      <c r="A25" s="59" t="s">
        <v>92</v>
      </c>
      <c r="B25" s="60" t="s">
        <v>86</v>
      </c>
      <c r="C25" s="61" t="s">
        <v>93</v>
      </c>
      <c r="D25" s="61" t="s">
        <v>94</v>
      </c>
      <c r="E25" s="62">
        <v>28.605664000000001</v>
      </c>
      <c r="F25" s="62">
        <v>77.429139000000006</v>
      </c>
    </row>
    <row r="26" spans="1:6" ht="32.1" customHeight="1">
      <c r="A26" s="63" t="s">
        <v>95</v>
      </c>
      <c r="B26" s="64" t="s">
        <v>86</v>
      </c>
      <c r="C26" s="65" t="s">
        <v>96</v>
      </c>
      <c r="D26" s="65" t="s">
        <v>97</v>
      </c>
      <c r="E26" s="66">
        <v>28.468119000000002</v>
      </c>
      <c r="F26" s="66">
        <v>77.506165999999993</v>
      </c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1"/>
      <c r="C45" s="1"/>
      <c r="D45" s="1"/>
      <c r="E45" s="1"/>
      <c r="F45" s="1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6"/>
  <sheetViews>
    <sheetView showGridLines="0" workbookViewId="0">
      <pane xSplit="1" ySplit="1" topLeftCell="B12" activePane="bottomRight" state="frozen"/>
      <selection pane="topRight"/>
      <selection pane="bottomLeft"/>
      <selection pane="bottomRight" activeCell="B26" sqref="B26"/>
    </sheetView>
  </sheetViews>
  <sheetFormatPr defaultRowHeight="14.25"/>
  <cols>
    <col min="1" max="1" width="14" customWidth="1"/>
    <col min="2" max="2" width="40" customWidth="1"/>
    <col min="3" max="4" width="20" customWidth="1"/>
    <col min="5" max="5" width="23" customWidth="1"/>
  </cols>
  <sheetData>
    <row r="1" spans="1:5" ht="32.1" customHeight="1">
      <c r="A1" s="3" t="s">
        <v>206</v>
      </c>
      <c r="B1" s="3" t="s">
        <v>11</v>
      </c>
      <c r="C1" s="3" t="s">
        <v>98</v>
      </c>
      <c r="D1" s="3" t="s">
        <v>99</v>
      </c>
      <c r="E1" s="3" t="s">
        <v>100</v>
      </c>
    </row>
    <row r="2" spans="1:5" ht="30" customHeight="1">
      <c r="A2" s="5" t="s">
        <v>17</v>
      </c>
      <c r="B2" s="13" t="s">
        <v>20</v>
      </c>
      <c r="C2" s="22">
        <v>40</v>
      </c>
      <c r="D2" s="22">
        <v>30</v>
      </c>
      <c r="E2" s="22">
        <f t="shared" ref="E2:E21" si="0">C2+D2</f>
        <v>70</v>
      </c>
    </row>
    <row r="3" spans="1:5" ht="30" customHeight="1">
      <c r="A3" s="8" t="s">
        <v>22</v>
      </c>
      <c r="B3" s="14" t="s">
        <v>24</v>
      </c>
      <c r="C3" s="23">
        <v>52</v>
      </c>
      <c r="D3" s="23">
        <v>39</v>
      </c>
      <c r="E3" s="23">
        <f t="shared" si="0"/>
        <v>91</v>
      </c>
    </row>
    <row r="4" spans="1:5" ht="30" customHeight="1">
      <c r="A4" s="8" t="s">
        <v>26</v>
      </c>
      <c r="B4" s="14" t="s">
        <v>28</v>
      </c>
      <c r="C4" s="23">
        <v>40</v>
      </c>
      <c r="D4" s="23">
        <v>30</v>
      </c>
      <c r="E4" s="23">
        <f t="shared" si="0"/>
        <v>70</v>
      </c>
    </row>
    <row r="5" spans="1:5" ht="30" customHeight="1">
      <c r="A5" s="8" t="s">
        <v>30</v>
      </c>
      <c r="B5" s="14" t="s">
        <v>32</v>
      </c>
      <c r="C5" s="23">
        <v>48</v>
      </c>
      <c r="D5" s="23">
        <v>36</v>
      </c>
      <c r="E5" s="23">
        <f t="shared" si="0"/>
        <v>84</v>
      </c>
    </row>
    <row r="6" spans="1:5" ht="30" customHeight="1">
      <c r="A6" s="8" t="s">
        <v>34</v>
      </c>
      <c r="B6" s="14" t="s">
        <v>36</v>
      </c>
      <c r="C6" s="23">
        <v>48</v>
      </c>
      <c r="D6" s="23">
        <v>36</v>
      </c>
      <c r="E6" s="23">
        <f t="shared" si="0"/>
        <v>84</v>
      </c>
    </row>
    <row r="7" spans="1:5" ht="30" customHeight="1">
      <c r="A7" s="8" t="s">
        <v>18</v>
      </c>
      <c r="B7" s="14" t="s">
        <v>39</v>
      </c>
      <c r="C7" s="23">
        <v>40</v>
      </c>
      <c r="D7" s="23">
        <v>30</v>
      </c>
      <c r="E7" s="23">
        <f t="shared" si="0"/>
        <v>70</v>
      </c>
    </row>
    <row r="8" spans="1:5" ht="30" customHeight="1">
      <c r="A8" s="8" t="s">
        <v>41</v>
      </c>
      <c r="B8" s="14" t="s">
        <v>43</v>
      </c>
      <c r="C8" s="23">
        <v>52</v>
      </c>
      <c r="D8" s="23">
        <v>39</v>
      </c>
      <c r="E8" s="23">
        <f t="shared" si="0"/>
        <v>91</v>
      </c>
    </row>
    <row r="9" spans="1:5" ht="30" customHeight="1">
      <c r="A9" s="8" t="s">
        <v>45</v>
      </c>
      <c r="B9" s="14" t="s">
        <v>47</v>
      </c>
      <c r="C9" s="23">
        <v>52</v>
      </c>
      <c r="D9" s="23">
        <v>39</v>
      </c>
      <c r="E9" s="23">
        <f t="shared" si="0"/>
        <v>91</v>
      </c>
    </row>
    <row r="10" spans="1:5" ht="30" customHeight="1">
      <c r="A10" s="8" t="s">
        <v>23</v>
      </c>
      <c r="B10" s="14" t="s">
        <v>50</v>
      </c>
      <c r="C10" s="23">
        <v>48</v>
      </c>
      <c r="D10" s="23">
        <v>36</v>
      </c>
      <c r="E10" s="23">
        <f t="shared" si="0"/>
        <v>84</v>
      </c>
    </row>
    <row r="11" spans="1:5" ht="30" customHeight="1">
      <c r="A11" s="8" t="s">
        <v>27</v>
      </c>
      <c r="B11" s="14" t="s">
        <v>53</v>
      </c>
      <c r="C11" s="23">
        <v>44</v>
      </c>
      <c r="D11" s="23">
        <v>31</v>
      </c>
      <c r="E11" s="23">
        <f t="shared" si="0"/>
        <v>75</v>
      </c>
    </row>
    <row r="12" spans="1:5" ht="30" customHeight="1">
      <c r="A12" s="8" t="s">
        <v>31</v>
      </c>
      <c r="B12" s="14" t="s">
        <v>56</v>
      </c>
      <c r="C12" s="23">
        <v>44</v>
      </c>
      <c r="D12" s="23">
        <v>31</v>
      </c>
      <c r="E12" s="23">
        <f t="shared" si="0"/>
        <v>75</v>
      </c>
    </row>
    <row r="13" spans="1:5" ht="30" customHeight="1">
      <c r="A13" s="8" t="s">
        <v>35</v>
      </c>
      <c r="B13" s="14" t="s">
        <v>59</v>
      </c>
      <c r="C13" s="23">
        <v>40</v>
      </c>
      <c r="D13" s="23">
        <v>30</v>
      </c>
      <c r="E13" s="23">
        <f t="shared" si="0"/>
        <v>70</v>
      </c>
    </row>
    <row r="14" spans="1:5" ht="30" customHeight="1">
      <c r="A14" s="8" t="s">
        <v>38</v>
      </c>
      <c r="B14" s="14" t="s">
        <v>62</v>
      </c>
      <c r="C14" s="23">
        <v>40</v>
      </c>
      <c r="D14" s="23">
        <v>30</v>
      </c>
      <c r="E14" s="23">
        <f t="shared" si="0"/>
        <v>70</v>
      </c>
    </row>
    <row r="15" spans="1:5" ht="30" customHeight="1">
      <c r="A15" s="8" t="s">
        <v>42</v>
      </c>
      <c r="B15" s="14" t="s">
        <v>65</v>
      </c>
      <c r="C15" s="23">
        <v>48</v>
      </c>
      <c r="D15" s="23">
        <v>36</v>
      </c>
      <c r="E15" s="23">
        <f t="shared" si="0"/>
        <v>84</v>
      </c>
    </row>
    <row r="16" spans="1:5" ht="30" customHeight="1">
      <c r="A16" s="8" t="s">
        <v>46</v>
      </c>
      <c r="B16" s="14" t="s">
        <v>68</v>
      </c>
      <c r="C16" s="23">
        <v>48</v>
      </c>
      <c r="D16" s="23">
        <v>36</v>
      </c>
      <c r="E16" s="23">
        <f t="shared" si="0"/>
        <v>84</v>
      </c>
    </row>
    <row r="17" spans="1:5" ht="30" customHeight="1">
      <c r="A17" s="8" t="s">
        <v>49</v>
      </c>
      <c r="B17" s="14" t="s">
        <v>71</v>
      </c>
      <c r="C17" s="23">
        <v>55</v>
      </c>
      <c r="D17" s="23">
        <v>42</v>
      </c>
      <c r="E17" s="23">
        <f t="shared" si="0"/>
        <v>97</v>
      </c>
    </row>
    <row r="18" spans="1:5" ht="30" customHeight="1">
      <c r="A18" s="8" t="s">
        <v>52</v>
      </c>
      <c r="B18" s="14" t="s">
        <v>74</v>
      </c>
      <c r="C18" s="23">
        <v>55</v>
      </c>
      <c r="D18" s="23">
        <v>42</v>
      </c>
      <c r="E18" s="23">
        <f t="shared" si="0"/>
        <v>97</v>
      </c>
    </row>
    <row r="19" spans="1:5" ht="30" customHeight="1">
      <c r="A19" s="8" t="s">
        <v>55</v>
      </c>
      <c r="B19" s="14" t="s">
        <v>77</v>
      </c>
      <c r="C19" s="23">
        <v>40</v>
      </c>
      <c r="D19" s="23">
        <v>30</v>
      </c>
      <c r="E19" s="23">
        <f t="shared" si="0"/>
        <v>70</v>
      </c>
    </row>
    <row r="20" spans="1:5" ht="30" customHeight="1">
      <c r="A20" s="8" t="s">
        <v>58</v>
      </c>
      <c r="B20" s="14" t="s">
        <v>80</v>
      </c>
      <c r="C20" s="23">
        <v>48</v>
      </c>
      <c r="D20" s="23">
        <v>36</v>
      </c>
      <c r="E20" s="23">
        <f t="shared" si="0"/>
        <v>84</v>
      </c>
    </row>
    <row r="21" spans="1:5" ht="30" customHeight="1">
      <c r="A21" s="9" t="s">
        <v>61</v>
      </c>
      <c r="B21" s="16" t="s">
        <v>83</v>
      </c>
      <c r="C21" s="24">
        <v>40</v>
      </c>
      <c r="D21" s="24">
        <v>30</v>
      </c>
      <c r="E21" s="24">
        <f t="shared" si="0"/>
        <v>70</v>
      </c>
    </row>
    <row r="22" spans="1:5">
      <c r="A22" s="1"/>
      <c r="B22" s="1"/>
      <c r="C22" s="1"/>
      <c r="D22" s="1"/>
      <c r="E22" s="1"/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1:5">
      <c r="A25" s="1"/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  <row r="27" spans="1:5">
      <c r="A27" s="1"/>
      <c r="B27" s="1"/>
      <c r="C27" s="1"/>
      <c r="D27" s="1"/>
      <c r="E27" s="1"/>
    </row>
    <row r="28" spans="1:5">
      <c r="A28" s="1"/>
      <c r="B28" s="1"/>
      <c r="C28" s="1"/>
      <c r="D28" s="1"/>
      <c r="E28" s="1"/>
    </row>
    <row r="29" spans="1:5">
      <c r="A29" s="1"/>
      <c r="B29" s="1"/>
      <c r="C29" s="1"/>
      <c r="D29" s="1"/>
      <c r="E29" s="1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  <row r="32" spans="1:5">
      <c r="A32" s="1"/>
      <c r="B32" s="1"/>
      <c r="C32" s="1"/>
      <c r="D32" s="1"/>
      <c r="E32" s="1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>
      <c r="A35" s="1"/>
      <c r="B35" s="1"/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1" spans="1:5">
      <c r="A51" s="1"/>
      <c r="B51" s="1"/>
      <c r="C51" s="1"/>
      <c r="D51" s="1"/>
      <c r="E51" s="1"/>
    </row>
    <row r="52" spans="1:5">
      <c r="A52" s="1"/>
      <c r="B52" s="1"/>
      <c r="C52" s="1"/>
      <c r="D52" s="1"/>
      <c r="E52" s="1"/>
    </row>
    <row r="53" spans="1:5">
      <c r="A53" s="1"/>
      <c r="B53" s="1"/>
      <c r="C53" s="1"/>
      <c r="D53" s="1"/>
      <c r="E53" s="1"/>
    </row>
    <row r="54" spans="1:5">
      <c r="A54" s="1"/>
      <c r="B54" s="1"/>
      <c r="C54" s="1"/>
      <c r="D54" s="1"/>
      <c r="E54" s="1"/>
    </row>
    <row r="55" spans="1:5">
      <c r="A55" s="1"/>
      <c r="B55" s="1"/>
      <c r="C55" s="1"/>
      <c r="D55" s="1"/>
      <c r="E55" s="1"/>
    </row>
    <row r="56" spans="1:5">
      <c r="A56" s="1"/>
      <c r="B56" s="1"/>
      <c r="C56" s="1"/>
      <c r="D56" s="1"/>
      <c r="E56" s="1"/>
    </row>
    <row r="57" spans="1:5">
      <c r="A57" s="1"/>
      <c r="B57" s="1"/>
      <c r="C57" s="1"/>
      <c r="D57" s="1"/>
      <c r="E57" s="1"/>
    </row>
    <row r="58" spans="1:5">
      <c r="A58" s="1"/>
      <c r="B58" s="1"/>
      <c r="C58" s="1"/>
      <c r="D58" s="1"/>
      <c r="E58" s="1"/>
    </row>
    <row r="59" spans="1:5">
      <c r="A59" s="1"/>
      <c r="B59" s="1"/>
      <c r="C59" s="1"/>
      <c r="D59" s="1"/>
      <c r="E59" s="1"/>
    </row>
    <row r="60" spans="1:5">
      <c r="A60" s="1"/>
      <c r="B60" s="1"/>
      <c r="C60" s="1"/>
      <c r="D60" s="1"/>
      <c r="E60" s="1"/>
    </row>
    <row r="61" spans="1:5">
      <c r="A61" s="1"/>
      <c r="B61" s="1"/>
      <c r="C61" s="1"/>
      <c r="D61" s="1"/>
      <c r="E61" s="1"/>
    </row>
    <row r="62" spans="1:5">
      <c r="A62" s="1"/>
      <c r="B62" s="1"/>
      <c r="C62" s="1"/>
      <c r="D62" s="1"/>
      <c r="E62" s="1"/>
    </row>
    <row r="63" spans="1:5">
      <c r="A63" s="1"/>
      <c r="B63" s="1"/>
      <c r="C63" s="1"/>
      <c r="D63" s="1"/>
      <c r="E63" s="1"/>
    </row>
    <row r="64" spans="1:5">
      <c r="A64" s="1"/>
      <c r="B64" s="1"/>
      <c r="C64" s="1"/>
      <c r="D64" s="1"/>
      <c r="E64" s="1"/>
    </row>
    <row r="65" spans="1:5">
      <c r="A65" s="1"/>
      <c r="B65" s="1"/>
      <c r="C65" s="1"/>
      <c r="D65" s="1"/>
      <c r="E65" s="1"/>
    </row>
    <row r="66" spans="1:5">
      <c r="A66" s="1"/>
      <c r="B66" s="1"/>
      <c r="C66" s="1"/>
      <c r="D66" s="1"/>
      <c r="E66" s="1"/>
    </row>
    <row r="67" spans="1:5">
      <c r="A67" s="1"/>
      <c r="B67" s="1"/>
      <c r="C67" s="1"/>
      <c r="D67" s="1"/>
      <c r="E67" s="1"/>
    </row>
    <row r="68" spans="1:5">
      <c r="A68" s="1"/>
      <c r="B68" s="1"/>
      <c r="C68" s="1"/>
      <c r="D68" s="1"/>
      <c r="E68" s="1"/>
    </row>
    <row r="69" spans="1:5">
      <c r="A69" s="1"/>
      <c r="B69" s="1"/>
      <c r="C69" s="1"/>
      <c r="D69" s="1"/>
      <c r="E69" s="1"/>
    </row>
    <row r="70" spans="1:5">
      <c r="A70" s="1"/>
      <c r="B70" s="1"/>
      <c r="C70" s="1"/>
      <c r="D70" s="1"/>
      <c r="E70" s="1"/>
    </row>
    <row r="71" spans="1:5">
      <c r="A71" s="1"/>
      <c r="B71" s="1"/>
      <c r="C71" s="1"/>
      <c r="D71" s="1"/>
      <c r="E71" s="1"/>
    </row>
    <row r="72" spans="1:5">
      <c r="A72" s="1"/>
      <c r="B72" s="1"/>
      <c r="C72" s="1"/>
      <c r="D72" s="1"/>
      <c r="E72" s="1"/>
    </row>
    <row r="73" spans="1:5">
      <c r="A73" s="1"/>
      <c r="B73" s="1"/>
      <c r="C73" s="1"/>
      <c r="D73" s="1"/>
      <c r="E73" s="1"/>
    </row>
    <row r="74" spans="1:5">
      <c r="A74" s="1"/>
      <c r="B74" s="1"/>
      <c r="C74" s="1"/>
      <c r="D74" s="1"/>
      <c r="E74" s="1"/>
    </row>
    <row r="75" spans="1:5">
      <c r="A75" s="1"/>
      <c r="B75" s="1"/>
      <c r="C75" s="1"/>
      <c r="D75" s="1"/>
      <c r="E75" s="1"/>
    </row>
    <row r="76" spans="1:5">
      <c r="A76" s="1"/>
      <c r="B76" s="1"/>
      <c r="C76" s="1"/>
      <c r="D76" s="1"/>
      <c r="E76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01"/>
  <sheetViews>
    <sheetView showGridLines="0" workbookViewId="0">
      <pane xSplit="2" ySplit="1" topLeftCell="C582" activePane="bottomRight" state="frozen"/>
      <selection pane="topRight"/>
      <selection pane="bottomLeft"/>
      <selection pane="bottomRight" activeCell="J594" sqref="J594"/>
    </sheetView>
  </sheetViews>
  <sheetFormatPr defaultRowHeight="14.25"/>
  <cols>
    <col min="1" max="1" width="20" customWidth="1"/>
    <col min="2" max="2" width="22" customWidth="1"/>
    <col min="3" max="3" width="17" customWidth="1"/>
    <col min="4" max="4" width="19" customWidth="1"/>
    <col min="5" max="5" width="26" customWidth="1"/>
    <col min="6" max="6" width="21" customWidth="1"/>
    <col min="7" max="7" width="23" customWidth="1"/>
  </cols>
  <sheetData>
    <row r="1" spans="1:7" ht="32.1" customHeight="1">
      <c r="A1" s="3" t="s">
        <v>101</v>
      </c>
      <c r="B1" s="3" t="s">
        <v>102</v>
      </c>
      <c r="C1" s="3" t="s">
        <v>103</v>
      </c>
      <c r="D1" s="3" t="s">
        <v>104</v>
      </c>
      <c r="E1" s="3" t="s">
        <v>105</v>
      </c>
      <c r="F1" s="3" t="s">
        <v>106</v>
      </c>
      <c r="G1" s="3" t="s">
        <v>107</v>
      </c>
    </row>
    <row r="2" spans="1:7">
      <c r="A2" s="5" t="s">
        <v>2</v>
      </c>
      <c r="B2" s="6" t="s">
        <v>18</v>
      </c>
      <c r="C2" s="25">
        <v>9.3566000000000003</v>
      </c>
      <c r="D2" s="27">
        <v>0.23522222200000001</v>
      </c>
      <c r="E2" s="18">
        <f t="shared" ref="E2:E65" si="0">C2</f>
        <v>9.3566000000000003</v>
      </c>
      <c r="F2" s="18">
        <f>C2*'Model Inputs'!$B$20</f>
        <v>0.65496200000000004</v>
      </c>
      <c r="G2" s="30">
        <f>C2*'Model Inputs'!$B$21</f>
        <v>1.0292260000000001E-3</v>
      </c>
    </row>
    <row r="3" spans="1:7">
      <c r="A3" s="8" t="s">
        <v>2</v>
      </c>
      <c r="B3" s="4" t="s">
        <v>23</v>
      </c>
      <c r="C3" s="12">
        <v>13.9777</v>
      </c>
      <c r="D3" s="28">
        <v>0.32300000000000001</v>
      </c>
      <c r="E3" s="19">
        <f t="shared" si="0"/>
        <v>13.9777</v>
      </c>
      <c r="F3" s="19">
        <f>C3*'Model Inputs'!$B$20</f>
        <v>0.97843900000000017</v>
      </c>
      <c r="G3" s="31">
        <f>C3*'Model Inputs'!$B$21</f>
        <v>1.537547E-3</v>
      </c>
    </row>
    <row r="4" spans="1:7">
      <c r="A4" s="8" t="s">
        <v>2</v>
      </c>
      <c r="B4" s="4" t="s">
        <v>27</v>
      </c>
      <c r="C4" s="12">
        <v>8.6515000000000004</v>
      </c>
      <c r="D4" s="28">
        <v>0.232805556</v>
      </c>
      <c r="E4" s="19">
        <f t="shared" si="0"/>
        <v>8.6515000000000004</v>
      </c>
      <c r="F4" s="19">
        <f>C4*'Model Inputs'!$B$20</f>
        <v>0.60560500000000006</v>
      </c>
      <c r="G4" s="31">
        <f>C4*'Model Inputs'!$B$21</f>
        <v>9.5166500000000008E-4</v>
      </c>
    </row>
    <row r="5" spans="1:7">
      <c r="A5" s="8" t="s">
        <v>2</v>
      </c>
      <c r="B5" s="4" t="s">
        <v>31</v>
      </c>
      <c r="C5" s="12">
        <v>17.171399999999998</v>
      </c>
      <c r="D5" s="28">
        <v>0.36522222199999999</v>
      </c>
      <c r="E5" s="19">
        <f t="shared" si="0"/>
        <v>17.171399999999998</v>
      </c>
      <c r="F5" s="19">
        <f>C5*'Model Inputs'!$B$20</f>
        <v>1.2019979999999999</v>
      </c>
      <c r="G5" s="31">
        <f>C5*'Model Inputs'!$B$21</f>
        <v>1.8888539999999999E-3</v>
      </c>
    </row>
    <row r="6" spans="1:7">
      <c r="A6" s="8" t="s">
        <v>2</v>
      </c>
      <c r="B6" s="4" t="s">
        <v>35</v>
      </c>
      <c r="C6" s="12">
        <v>19.363199999999999</v>
      </c>
      <c r="D6" s="28">
        <v>0.39477777800000002</v>
      </c>
      <c r="E6" s="19">
        <f t="shared" si="0"/>
        <v>19.363199999999999</v>
      </c>
      <c r="F6" s="19">
        <f>C6*'Model Inputs'!$B$20</f>
        <v>1.355424</v>
      </c>
      <c r="G6" s="31">
        <f>C6*'Model Inputs'!$B$21</f>
        <v>2.1299520000000001E-3</v>
      </c>
    </row>
    <row r="7" spans="1:7">
      <c r="A7" s="8" t="s">
        <v>2</v>
      </c>
      <c r="B7" s="4" t="s">
        <v>38</v>
      </c>
      <c r="C7" s="12">
        <v>35.322899999999997</v>
      </c>
      <c r="D7" s="28">
        <v>0.62466666699999995</v>
      </c>
      <c r="E7" s="19">
        <f t="shared" si="0"/>
        <v>35.322899999999997</v>
      </c>
      <c r="F7" s="19">
        <f>C7*'Model Inputs'!$B$20</f>
        <v>2.4726029999999999</v>
      </c>
      <c r="G7" s="31">
        <f>C7*'Model Inputs'!$B$21</f>
        <v>3.8855189999999996E-3</v>
      </c>
    </row>
    <row r="8" spans="1:7">
      <c r="A8" s="8" t="s">
        <v>2</v>
      </c>
      <c r="B8" s="4" t="s">
        <v>42</v>
      </c>
      <c r="C8" s="12">
        <v>22.8992</v>
      </c>
      <c r="D8" s="28">
        <v>0.44766666700000002</v>
      </c>
      <c r="E8" s="19">
        <f t="shared" si="0"/>
        <v>22.8992</v>
      </c>
      <c r="F8" s="19">
        <f>C8*'Model Inputs'!$B$20</f>
        <v>1.6029440000000001</v>
      </c>
      <c r="G8" s="31">
        <f>C8*'Model Inputs'!$B$21</f>
        <v>2.5189120000000003E-3</v>
      </c>
    </row>
    <row r="9" spans="1:7">
      <c r="A9" s="8" t="s">
        <v>2</v>
      </c>
      <c r="B9" s="4" t="s">
        <v>46</v>
      </c>
      <c r="C9" s="12">
        <v>14.553100000000001</v>
      </c>
      <c r="D9" s="28">
        <v>0.32597222199999998</v>
      </c>
      <c r="E9" s="19">
        <f t="shared" si="0"/>
        <v>14.553100000000001</v>
      </c>
      <c r="F9" s="19">
        <f>C9*'Model Inputs'!$B$20</f>
        <v>1.0187170000000001</v>
      </c>
      <c r="G9" s="31">
        <f>C9*'Model Inputs'!$B$21</f>
        <v>1.6008410000000002E-3</v>
      </c>
    </row>
    <row r="10" spans="1:7">
      <c r="A10" s="8" t="s">
        <v>2</v>
      </c>
      <c r="B10" s="4" t="s">
        <v>49</v>
      </c>
      <c r="C10" s="12">
        <v>33.105200000000004</v>
      </c>
      <c r="D10" s="28">
        <v>0.60411111100000003</v>
      </c>
      <c r="E10" s="19">
        <f t="shared" si="0"/>
        <v>33.105200000000004</v>
      </c>
      <c r="F10" s="19">
        <f>C10*'Model Inputs'!$B$20</f>
        <v>2.3173640000000004</v>
      </c>
      <c r="G10" s="31">
        <f>C10*'Model Inputs'!$B$21</f>
        <v>3.6415720000000005E-3</v>
      </c>
    </row>
    <row r="11" spans="1:7">
      <c r="A11" s="8" t="s">
        <v>2</v>
      </c>
      <c r="B11" s="4" t="s">
        <v>52</v>
      </c>
      <c r="C11" s="12">
        <v>14.1311</v>
      </c>
      <c r="D11" s="28">
        <v>0.3085</v>
      </c>
      <c r="E11" s="19">
        <f t="shared" si="0"/>
        <v>14.1311</v>
      </c>
      <c r="F11" s="19">
        <f>C11*'Model Inputs'!$B$20</f>
        <v>0.98917700000000008</v>
      </c>
      <c r="G11" s="31">
        <f>C11*'Model Inputs'!$B$21</f>
        <v>1.5544210000000001E-3</v>
      </c>
    </row>
    <row r="12" spans="1:7">
      <c r="A12" s="8" t="s">
        <v>2</v>
      </c>
      <c r="B12" s="4" t="s">
        <v>55</v>
      </c>
      <c r="C12" s="12">
        <v>8.4664999999999999</v>
      </c>
      <c r="D12" s="28">
        <v>0.240027778</v>
      </c>
      <c r="E12" s="19">
        <f t="shared" si="0"/>
        <v>8.4664999999999999</v>
      </c>
      <c r="F12" s="19">
        <f>C12*'Model Inputs'!$B$20</f>
        <v>0.59265500000000004</v>
      </c>
      <c r="G12" s="31">
        <f>C12*'Model Inputs'!$B$21</f>
        <v>9.3131500000000005E-4</v>
      </c>
    </row>
    <row r="13" spans="1:7">
      <c r="A13" s="8" t="s">
        <v>2</v>
      </c>
      <c r="B13" s="4" t="s">
        <v>58</v>
      </c>
      <c r="C13" s="12">
        <v>16.907599999999999</v>
      </c>
      <c r="D13" s="28">
        <v>0.33555555599999998</v>
      </c>
      <c r="E13" s="19">
        <f t="shared" si="0"/>
        <v>16.907599999999999</v>
      </c>
      <c r="F13" s="19">
        <f>C13*'Model Inputs'!$B$20</f>
        <v>1.183532</v>
      </c>
      <c r="G13" s="31">
        <f>C13*'Model Inputs'!$B$21</f>
        <v>1.8598359999999999E-3</v>
      </c>
    </row>
    <row r="14" spans="1:7">
      <c r="A14" s="8" t="s">
        <v>2</v>
      </c>
      <c r="B14" s="4" t="s">
        <v>61</v>
      </c>
      <c r="C14" s="12">
        <v>20.642900000000001</v>
      </c>
      <c r="D14" s="28">
        <v>0.408861111</v>
      </c>
      <c r="E14" s="19">
        <f t="shared" si="0"/>
        <v>20.642900000000001</v>
      </c>
      <c r="F14" s="19">
        <f>C14*'Model Inputs'!$B$20</f>
        <v>1.4450030000000003</v>
      </c>
      <c r="G14" s="31">
        <f>C14*'Model Inputs'!$B$21</f>
        <v>2.270719E-3</v>
      </c>
    </row>
    <row r="15" spans="1:7">
      <c r="A15" s="8" t="s">
        <v>2</v>
      </c>
      <c r="B15" s="4" t="s">
        <v>64</v>
      </c>
      <c r="C15" s="12">
        <v>20.495000000000001</v>
      </c>
      <c r="D15" s="28">
        <v>0.425194444</v>
      </c>
      <c r="E15" s="19">
        <f t="shared" si="0"/>
        <v>20.495000000000001</v>
      </c>
      <c r="F15" s="19">
        <f>C15*'Model Inputs'!$B$20</f>
        <v>1.4346500000000002</v>
      </c>
      <c r="G15" s="31">
        <f>C15*'Model Inputs'!$B$21</f>
        <v>2.2544500000000003E-3</v>
      </c>
    </row>
    <row r="16" spans="1:7">
      <c r="A16" s="8" t="s">
        <v>2</v>
      </c>
      <c r="B16" s="4" t="s">
        <v>67</v>
      </c>
      <c r="C16" s="12">
        <v>20.4041</v>
      </c>
      <c r="D16" s="28">
        <v>0.39447222199999998</v>
      </c>
      <c r="E16" s="19">
        <f t="shared" si="0"/>
        <v>20.4041</v>
      </c>
      <c r="F16" s="19">
        <f>C16*'Model Inputs'!$B$20</f>
        <v>1.4282870000000001</v>
      </c>
      <c r="G16" s="31">
        <f>C16*'Model Inputs'!$B$21</f>
        <v>2.2444510000000002E-3</v>
      </c>
    </row>
    <row r="17" spans="1:7">
      <c r="A17" s="8" t="s">
        <v>2</v>
      </c>
      <c r="B17" s="4" t="s">
        <v>70</v>
      </c>
      <c r="C17" s="12">
        <v>25.8536</v>
      </c>
      <c r="D17" s="28">
        <v>0.54222222200000003</v>
      </c>
      <c r="E17" s="19">
        <f t="shared" si="0"/>
        <v>25.8536</v>
      </c>
      <c r="F17" s="19">
        <f>C17*'Model Inputs'!$B$20</f>
        <v>1.8097520000000002</v>
      </c>
      <c r="G17" s="31">
        <f>C17*'Model Inputs'!$B$21</f>
        <v>2.8438960000000003E-3</v>
      </c>
    </row>
    <row r="18" spans="1:7">
      <c r="A18" s="8" t="s">
        <v>2</v>
      </c>
      <c r="B18" s="4" t="s">
        <v>73</v>
      </c>
      <c r="C18" s="12">
        <v>21.8291</v>
      </c>
      <c r="D18" s="28">
        <v>0.50258333300000002</v>
      </c>
      <c r="E18" s="19">
        <f t="shared" si="0"/>
        <v>21.8291</v>
      </c>
      <c r="F18" s="19">
        <f>C18*'Model Inputs'!$B$20</f>
        <v>1.5280370000000001</v>
      </c>
      <c r="G18" s="31">
        <f>C18*'Model Inputs'!$B$21</f>
        <v>2.4012009999999999E-3</v>
      </c>
    </row>
    <row r="19" spans="1:7">
      <c r="A19" s="8" t="s">
        <v>2</v>
      </c>
      <c r="B19" s="4" t="s">
        <v>76</v>
      </c>
      <c r="C19" s="12">
        <v>24.785299999999999</v>
      </c>
      <c r="D19" s="28">
        <v>0.46124999999999999</v>
      </c>
      <c r="E19" s="19">
        <f t="shared" si="0"/>
        <v>24.785299999999999</v>
      </c>
      <c r="F19" s="19">
        <f>C19*'Model Inputs'!$B$20</f>
        <v>1.734971</v>
      </c>
      <c r="G19" s="31">
        <f>C19*'Model Inputs'!$B$21</f>
        <v>2.7263830000000002E-3</v>
      </c>
    </row>
    <row r="20" spans="1:7">
      <c r="A20" s="8" t="s">
        <v>2</v>
      </c>
      <c r="B20" s="4" t="s">
        <v>79</v>
      </c>
      <c r="C20" s="12">
        <v>21.960799999999999</v>
      </c>
      <c r="D20" s="28">
        <v>0.55502777800000003</v>
      </c>
      <c r="E20" s="19">
        <f t="shared" si="0"/>
        <v>21.960799999999999</v>
      </c>
      <c r="F20" s="19">
        <f>C20*'Model Inputs'!$B$20</f>
        <v>1.5372560000000002</v>
      </c>
      <c r="G20" s="31">
        <f>C20*'Model Inputs'!$B$21</f>
        <v>2.415688E-3</v>
      </c>
    </row>
    <row r="21" spans="1:7">
      <c r="A21" s="8" t="s">
        <v>2</v>
      </c>
      <c r="B21" s="4" t="s">
        <v>82</v>
      </c>
      <c r="C21" s="12">
        <v>22.765699999999999</v>
      </c>
      <c r="D21" s="28">
        <v>0.478694444</v>
      </c>
      <c r="E21" s="19">
        <f t="shared" si="0"/>
        <v>22.765699999999999</v>
      </c>
      <c r="F21" s="19">
        <f>C21*'Model Inputs'!$B$20</f>
        <v>1.593599</v>
      </c>
      <c r="G21" s="31">
        <f>C21*'Model Inputs'!$B$21</f>
        <v>2.5042269999999999E-3</v>
      </c>
    </row>
    <row r="22" spans="1:7">
      <c r="A22" s="8" t="s">
        <v>2</v>
      </c>
      <c r="B22" s="4" t="s">
        <v>85</v>
      </c>
      <c r="C22" s="12">
        <v>12.954499999999999</v>
      </c>
      <c r="D22" s="28">
        <v>0.27966666699999998</v>
      </c>
      <c r="E22" s="19">
        <f t="shared" si="0"/>
        <v>12.954499999999999</v>
      </c>
      <c r="F22" s="19">
        <f>C22*'Model Inputs'!$B$20</f>
        <v>0.90681500000000004</v>
      </c>
      <c r="G22" s="31">
        <f>C22*'Model Inputs'!$B$21</f>
        <v>1.4249950000000001E-3</v>
      </c>
    </row>
    <row r="23" spans="1:7">
      <c r="A23" s="8" t="s">
        <v>2</v>
      </c>
      <c r="B23" s="4" t="s">
        <v>89</v>
      </c>
      <c r="C23" s="12">
        <v>8.2974999999999994</v>
      </c>
      <c r="D23" s="28">
        <v>0.22002777800000001</v>
      </c>
      <c r="E23" s="19">
        <f t="shared" si="0"/>
        <v>8.2974999999999994</v>
      </c>
      <c r="F23" s="19">
        <f>C23*'Model Inputs'!$B$20</f>
        <v>0.58082500000000004</v>
      </c>
      <c r="G23" s="31">
        <f>C23*'Model Inputs'!$B$21</f>
        <v>9.1272499999999997E-4</v>
      </c>
    </row>
    <row r="24" spans="1:7">
      <c r="A24" s="8" t="s">
        <v>2</v>
      </c>
      <c r="B24" s="4" t="s">
        <v>92</v>
      </c>
      <c r="C24" s="12">
        <v>12.899900000000001</v>
      </c>
      <c r="D24" s="28">
        <v>0.30705555600000001</v>
      </c>
      <c r="E24" s="19">
        <f t="shared" si="0"/>
        <v>12.899900000000001</v>
      </c>
      <c r="F24" s="19">
        <f>C24*'Model Inputs'!$B$20</f>
        <v>0.90299300000000016</v>
      </c>
      <c r="G24" s="31">
        <f>C24*'Model Inputs'!$B$21</f>
        <v>1.4189890000000001E-3</v>
      </c>
    </row>
    <row r="25" spans="1:7">
      <c r="A25" s="8" t="s">
        <v>2</v>
      </c>
      <c r="B25" s="4" t="s">
        <v>95</v>
      </c>
      <c r="C25" s="12">
        <v>14.496600000000001</v>
      </c>
      <c r="D25" s="28">
        <v>0.29949999999999999</v>
      </c>
      <c r="E25" s="19">
        <f t="shared" si="0"/>
        <v>14.496600000000001</v>
      </c>
      <c r="F25" s="19">
        <f>C25*'Model Inputs'!$B$20</f>
        <v>1.0147620000000002</v>
      </c>
      <c r="G25" s="31">
        <f>C25*'Model Inputs'!$B$21</f>
        <v>1.5946260000000002E-3</v>
      </c>
    </row>
    <row r="26" spans="1:7">
      <c r="A26" s="8" t="s">
        <v>18</v>
      </c>
      <c r="B26" s="4" t="s">
        <v>2</v>
      </c>
      <c r="C26" s="12">
        <v>6.9659000000000004</v>
      </c>
      <c r="D26" s="28">
        <v>0.21655555600000001</v>
      </c>
      <c r="E26" s="19">
        <f t="shared" si="0"/>
        <v>6.9659000000000004</v>
      </c>
      <c r="F26" s="19">
        <f>C26*'Model Inputs'!$B$20</f>
        <v>0.48761300000000007</v>
      </c>
      <c r="G26" s="31">
        <f>C26*'Model Inputs'!$B$21</f>
        <v>7.662490000000001E-4</v>
      </c>
    </row>
    <row r="27" spans="1:7">
      <c r="A27" s="8" t="s">
        <v>18</v>
      </c>
      <c r="B27" s="4" t="s">
        <v>23</v>
      </c>
      <c r="C27" s="12">
        <v>7.5910000000000002</v>
      </c>
      <c r="D27" s="28">
        <v>0.22002777800000001</v>
      </c>
      <c r="E27" s="19">
        <f t="shared" si="0"/>
        <v>7.5910000000000002</v>
      </c>
      <c r="F27" s="19">
        <f>C27*'Model Inputs'!$B$20</f>
        <v>0.53137000000000001</v>
      </c>
      <c r="G27" s="31">
        <f>C27*'Model Inputs'!$B$21</f>
        <v>8.3501000000000007E-4</v>
      </c>
    </row>
    <row r="28" spans="1:7">
      <c r="A28" s="8" t="s">
        <v>18</v>
      </c>
      <c r="B28" s="4" t="s">
        <v>27</v>
      </c>
      <c r="C28" s="12">
        <v>13.154</v>
      </c>
      <c r="D28" s="28">
        <v>0.31563888899999998</v>
      </c>
      <c r="E28" s="19">
        <f t="shared" si="0"/>
        <v>13.154</v>
      </c>
      <c r="F28" s="19">
        <f>C28*'Model Inputs'!$B$20</f>
        <v>0.92078000000000004</v>
      </c>
      <c r="G28" s="31">
        <f>C28*'Model Inputs'!$B$21</f>
        <v>1.4469400000000001E-3</v>
      </c>
    </row>
    <row r="29" spans="1:7">
      <c r="A29" s="8" t="s">
        <v>18</v>
      </c>
      <c r="B29" s="4" t="s">
        <v>31</v>
      </c>
      <c r="C29" s="12">
        <v>21.291399999999999</v>
      </c>
      <c r="D29" s="28">
        <v>0.44436111099999998</v>
      </c>
      <c r="E29" s="19">
        <f t="shared" si="0"/>
        <v>21.291399999999999</v>
      </c>
      <c r="F29" s="19">
        <f>C29*'Model Inputs'!$B$20</f>
        <v>1.4903980000000001</v>
      </c>
      <c r="G29" s="31">
        <f>C29*'Model Inputs'!$B$21</f>
        <v>2.3420540000000001E-3</v>
      </c>
    </row>
    <row r="30" spans="1:7">
      <c r="A30" s="8" t="s">
        <v>18</v>
      </c>
      <c r="B30" s="4" t="s">
        <v>35</v>
      </c>
      <c r="C30" s="12">
        <v>17.119800000000001</v>
      </c>
      <c r="D30" s="28">
        <v>0.34588888899999998</v>
      </c>
      <c r="E30" s="19">
        <f t="shared" si="0"/>
        <v>17.119800000000001</v>
      </c>
      <c r="F30" s="19">
        <f>C30*'Model Inputs'!$B$20</f>
        <v>1.1983860000000002</v>
      </c>
      <c r="G30" s="31">
        <f>C30*'Model Inputs'!$B$21</f>
        <v>1.8831780000000003E-3</v>
      </c>
    </row>
    <row r="31" spans="1:7">
      <c r="A31" s="8" t="s">
        <v>18</v>
      </c>
      <c r="B31" s="4" t="s">
        <v>38</v>
      </c>
      <c r="C31" s="12">
        <v>39.442900000000002</v>
      </c>
      <c r="D31" s="28">
        <v>0.70380555600000005</v>
      </c>
      <c r="E31" s="19">
        <f t="shared" si="0"/>
        <v>39.442900000000002</v>
      </c>
      <c r="F31" s="19">
        <f>C31*'Model Inputs'!$B$20</f>
        <v>2.7610030000000005</v>
      </c>
      <c r="G31" s="31">
        <f>C31*'Model Inputs'!$B$21</f>
        <v>4.3387190000000004E-3</v>
      </c>
    </row>
    <row r="32" spans="1:7">
      <c r="A32" s="8" t="s">
        <v>18</v>
      </c>
      <c r="B32" s="4" t="s">
        <v>42</v>
      </c>
      <c r="C32" s="12">
        <v>20.655799999999999</v>
      </c>
      <c r="D32" s="28">
        <v>0.39877777800000003</v>
      </c>
      <c r="E32" s="19">
        <f t="shared" si="0"/>
        <v>20.655799999999999</v>
      </c>
      <c r="F32" s="19">
        <f>C32*'Model Inputs'!$B$20</f>
        <v>1.4459060000000001</v>
      </c>
      <c r="G32" s="31">
        <f>C32*'Model Inputs'!$B$21</f>
        <v>2.2721379999999999E-3</v>
      </c>
    </row>
    <row r="33" spans="1:7">
      <c r="A33" s="8" t="s">
        <v>18</v>
      </c>
      <c r="B33" s="4" t="s">
        <v>46</v>
      </c>
      <c r="C33" s="12">
        <v>15.908300000000001</v>
      </c>
      <c r="D33" s="28">
        <v>0.35283333300000003</v>
      </c>
      <c r="E33" s="19">
        <f t="shared" si="0"/>
        <v>15.908300000000001</v>
      </c>
      <c r="F33" s="19">
        <f>C33*'Model Inputs'!$B$20</f>
        <v>1.1135810000000002</v>
      </c>
      <c r="G33" s="31">
        <f>C33*'Model Inputs'!$B$21</f>
        <v>1.7499130000000001E-3</v>
      </c>
    </row>
    <row r="34" spans="1:7">
      <c r="A34" s="8" t="s">
        <v>18</v>
      </c>
      <c r="B34" s="4" t="s">
        <v>49</v>
      </c>
      <c r="C34" s="12">
        <v>37.225299999999997</v>
      </c>
      <c r="D34" s="28">
        <v>0.68325000000000002</v>
      </c>
      <c r="E34" s="19">
        <f t="shared" si="0"/>
        <v>37.225299999999997</v>
      </c>
      <c r="F34" s="19">
        <f>C34*'Model Inputs'!$B$20</f>
        <v>2.6057709999999998</v>
      </c>
      <c r="G34" s="31">
        <f>C34*'Model Inputs'!$B$21</f>
        <v>4.0947829999999994E-3</v>
      </c>
    </row>
    <row r="35" spans="1:7">
      <c r="A35" s="8" t="s">
        <v>18</v>
      </c>
      <c r="B35" s="4" t="s">
        <v>52</v>
      </c>
      <c r="C35" s="12">
        <v>14.576499999999999</v>
      </c>
      <c r="D35" s="28">
        <v>0.33358333299999998</v>
      </c>
      <c r="E35" s="19">
        <f t="shared" si="0"/>
        <v>14.576499999999999</v>
      </c>
      <c r="F35" s="19">
        <f>C35*'Model Inputs'!$B$20</f>
        <v>1.0203550000000001</v>
      </c>
      <c r="G35" s="31">
        <f>C35*'Model Inputs'!$B$21</f>
        <v>1.603415E-3</v>
      </c>
    </row>
    <row r="36" spans="1:7">
      <c r="A36" s="8" t="s">
        <v>18</v>
      </c>
      <c r="B36" s="4" t="s">
        <v>55</v>
      </c>
      <c r="C36" s="12">
        <v>13.659599999999999</v>
      </c>
      <c r="D36" s="28">
        <v>0.38155555600000002</v>
      </c>
      <c r="E36" s="19">
        <f t="shared" si="0"/>
        <v>13.659599999999999</v>
      </c>
      <c r="F36" s="19">
        <f>C36*'Model Inputs'!$B$20</f>
        <v>0.95617200000000002</v>
      </c>
      <c r="G36" s="31">
        <f>C36*'Model Inputs'!$B$21</f>
        <v>1.5025559999999999E-3</v>
      </c>
    </row>
    <row r="37" spans="1:7">
      <c r="A37" s="8" t="s">
        <v>18</v>
      </c>
      <c r="B37" s="4" t="s">
        <v>58</v>
      </c>
      <c r="C37" s="12">
        <v>17.353000000000002</v>
      </c>
      <c r="D37" s="28">
        <v>0.36063888900000002</v>
      </c>
      <c r="E37" s="19">
        <f t="shared" si="0"/>
        <v>17.353000000000002</v>
      </c>
      <c r="F37" s="19">
        <f>C37*'Model Inputs'!$B$20</f>
        <v>1.2147100000000002</v>
      </c>
      <c r="G37" s="31">
        <f>C37*'Model Inputs'!$B$21</f>
        <v>1.9088300000000002E-3</v>
      </c>
    </row>
    <row r="38" spans="1:7">
      <c r="A38" s="8" t="s">
        <v>18</v>
      </c>
      <c r="B38" s="4" t="s">
        <v>61</v>
      </c>
      <c r="C38" s="12">
        <v>23.6294</v>
      </c>
      <c r="D38" s="28">
        <v>0.44013888899999998</v>
      </c>
      <c r="E38" s="19">
        <f t="shared" si="0"/>
        <v>23.6294</v>
      </c>
      <c r="F38" s="19">
        <f>C38*'Model Inputs'!$B$20</f>
        <v>1.6540580000000003</v>
      </c>
      <c r="G38" s="31">
        <f>C38*'Model Inputs'!$B$21</f>
        <v>2.5992340000000002E-3</v>
      </c>
    </row>
    <row r="39" spans="1:7">
      <c r="A39" s="8" t="s">
        <v>18</v>
      </c>
      <c r="B39" s="4" t="s">
        <v>64</v>
      </c>
      <c r="C39" s="12">
        <v>24.614999999999998</v>
      </c>
      <c r="D39" s="28">
        <v>0.50433333300000005</v>
      </c>
      <c r="E39" s="19">
        <f t="shared" si="0"/>
        <v>24.614999999999998</v>
      </c>
      <c r="F39" s="19">
        <f>C39*'Model Inputs'!$B$20</f>
        <v>1.72305</v>
      </c>
      <c r="G39" s="31">
        <f>C39*'Model Inputs'!$B$21</f>
        <v>2.7076499999999998E-3</v>
      </c>
    </row>
    <row r="40" spans="1:7">
      <c r="A40" s="8" t="s">
        <v>18</v>
      </c>
      <c r="B40" s="4" t="s">
        <v>67</v>
      </c>
      <c r="C40" s="12">
        <v>17.9572</v>
      </c>
      <c r="D40" s="28">
        <v>0.37213888899999997</v>
      </c>
      <c r="E40" s="19">
        <f t="shared" si="0"/>
        <v>17.9572</v>
      </c>
      <c r="F40" s="19">
        <f>C40*'Model Inputs'!$B$20</f>
        <v>1.2570040000000002</v>
      </c>
      <c r="G40" s="31">
        <f>C40*'Model Inputs'!$B$21</f>
        <v>1.975292E-3</v>
      </c>
    </row>
    <row r="41" spans="1:7">
      <c r="A41" s="8" t="s">
        <v>18</v>
      </c>
      <c r="B41" s="4" t="s">
        <v>70</v>
      </c>
      <c r="C41" s="12">
        <v>25.0608</v>
      </c>
      <c r="D41" s="28">
        <v>0.56122222200000005</v>
      </c>
      <c r="E41" s="19">
        <f t="shared" si="0"/>
        <v>25.0608</v>
      </c>
      <c r="F41" s="19">
        <f>C41*'Model Inputs'!$B$20</f>
        <v>1.7542560000000003</v>
      </c>
      <c r="G41" s="31">
        <f>C41*'Model Inputs'!$B$21</f>
        <v>2.7566880000000002E-3</v>
      </c>
    </row>
    <row r="42" spans="1:7">
      <c r="A42" s="8" t="s">
        <v>18</v>
      </c>
      <c r="B42" s="4" t="s">
        <v>73</v>
      </c>
      <c r="C42" s="12">
        <v>21.036200000000001</v>
      </c>
      <c r="D42" s="28">
        <v>0.52158333300000004</v>
      </c>
      <c r="E42" s="19">
        <f t="shared" si="0"/>
        <v>21.036200000000001</v>
      </c>
      <c r="F42" s="19">
        <f>C42*'Model Inputs'!$B$20</f>
        <v>1.4725340000000002</v>
      </c>
      <c r="G42" s="31">
        <f>C42*'Model Inputs'!$B$21</f>
        <v>2.313982E-3</v>
      </c>
    </row>
    <row r="43" spans="1:7">
      <c r="A43" s="8" t="s">
        <v>18</v>
      </c>
      <c r="B43" s="4" t="s">
        <v>76</v>
      </c>
      <c r="C43" s="12">
        <v>15.6792</v>
      </c>
      <c r="D43" s="28">
        <v>0.38108333300000002</v>
      </c>
      <c r="E43" s="19">
        <f t="shared" si="0"/>
        <v>15.6792</v>
      </c>
      <c r="F43" s="19">
        <f>C43*'Model Inputs'!$B$20</f>
        <v>1.0975440000000001</v>
      </c>
      <c r="G43" s="31">
        <f>C43*'Model Inputs'!$B$21</f>
        <v>1.724712E-3</v>
      </c>
    </row>
    <row r="44" spans="1:7">
      <c r="A44" s="8" t="s">
        <v>18</v>
      </c>
      <c r="B44" s="4" t="s">
        <v>79</v>
      </c>
      <c r="C44" s="12">
        <v>13.830500000000001</v>
      </c>
      <c r="D44" s="28">
        <v>0.41175</v>
      </c>
      <c r="E44" s="19">
        <f t="shared" si="0"/>
        <v>13.830500000000001</v>
      </c>
      <c r="F44" s="19">
        <f>C44*'Model Inputs'!$B$20</f>
        <v>0.96813500000000019</v>
      </c>
      <c r="G44" s="31">
        <f>C44*'Model Inputs'!$B$21</f>
        <v>1.5213550000000001E-3</v>
      </c>
    </row>
    <row r="45" spans="1:7">
      <c r="A45" s="8" t="s">
        <v>18</v>
      </c>
      <c r="B45" s="4" t="s">
        <v>82</v>
      </c>
      <c r="C45" s="12">
        <v>20.522300000000001</v>
      </c>
      <c r="D45" s="28">
        <v>0.42980555599999998</v>
      </c>
      <c r="E45" s="19">
        <f t="shared" si="0"/>
        <v>20.522300000000001</v>
      </c>
      <c r="F45" s="19">
        <f>C45*'Model Inputs'!$B$20</f>
        <v>1.4365610000000002</v>
      </c>
      <c r="G45" s="31">
        <f>C45*'Model Inputs'!$B$21</f>
        <v>2.2574530000000004E-3</v>
      </c>
    </row>
    <row r="46" spans="1:7">
      <c r="A46" s="8" t="s">
        <v>18</v>
      </c>
      <c r="B46" s="4" t="s">
        <v>85</v>
      </c>
      <c r="C46" s="12">
        <v>17.418700000000001</v>
      </c>
      <c r="D46" s="28">
        <v>0.37197222200000002</v>
      </c>
      <c r="E46" s="19">
        <f t="shared" si="0"/>
        <v>17.418700000000001</v>
      </c>
      <c r="F46" s="19">
        <f>C46*'Model Inputs'!$B$20</f>
        <v>1.2193090000000002</v>
      </c>
      <c r="G46" s="31">
        <f>C46*'Model Inputs'!$B$21</f>
        <v>1.9160570000000001E-3</v>
      </c>
    </row>
    <row r="47" spans="1:7">
      <c r="A47" s="8" t="s">
        <v>18</v>
      </c>
      <c r="B47" s="4" t="s">
        <v>89</v>
      </c>
      <c r="C47" s="12">
        <v>10.455500000000001</v>
      </c>
      <c r="D47" s="28">
        <v>0.24919444399999999</v>
      </c>
      <c r="E47" s="19">
        <f t="shared" si="0"/>
        <v>10.455500000000001</v>
      </c>
      <c r="F47" s="19">
        <f>C47*'Model Inputs'!$B$20</f>
        <v>0.73188500000000012</v>
      </c>
      <c r="G47" s="31">
        <f>C47*'Model Inputs'!$B$21</f>
        <v>1.1501050000000002E-3</v>
      </c>
    </row>
    <row r="48" spans="1:7">
      <c r="A48" s="8" t="s">
        <v>18</v>
      </c>
      <c r="B48" s="4" t="s">
        <v>92</v>
      </c>
      <c r="C48" s="12">
        <v>8.2530000000000001</v>
      </c>
      <c r="D48" s="28">
        <v>0.21983333299999999</v>
      </c>
      <c r="E48" s="19">
        <f t="shared" si="0"/>
        <v>8.2530000000000001</v>
      </c>
      <c r="F48" s="19">
        <f>C48*'Model Inputs'!$B$20</f>
        <v>0.57771000000000006</v>
      </c>
      <c r="G48" s="31">
        <f>C48*'Model Inputs'!$B$21</f>
        <v>9.078300000000001E-4</v>
      </c>
    </row>
    <row r="49" spans="1:7">
      <c r="A49" s="8" t="s">
        <v>18</v>
      </c>
      <c r="B49" s="4" t="s">
        <v>95</v>
      </c>
      <c r="C49" s="12">
        <v>14.9421</v>
      </c>
      <c r="D49" s="28">
        <v>0.32458333299999997</v>
      </c>
      <c r="E49" s="19">
        <f t="shared" si="0"/>
        <v>14.9421</v>
      </c>
      <c r="F49" s="19">
        <f>C49*'Model Inputs'!$B$20</f>
        <v>1.0459470000000002</v>
      </c>
      <c r="G49" s="31">
        <f>C49*'Model Inputs'!$B$21</f>
        <v>1.643631E-3</v>
      </c>
    </row>
    <row r="50" spans="1:7">
      <c r="A50" s="8" t="s">
        <v>23</v>
      </c>
      <c r="B50" s="4" t="s">
        <v>2</v>
      </c>
      <c r="C50" s="12">
        <v>13.1251</v>
      </c>
      <c r="D50" s="28">
        <v>0.303777778</v>
      </c>
      <c r="E50" s="19">
        <f t="shared" si="0"/>
        <v>13.1251</v>
      </c>
      <c r="F50" s="19">
        <f>C50*'Model Inputs'!$B$20</f>
        <v>0.91875700000000005</v>
      </c>
      <c r="G50" s="31">
        <f>C50*'Model Inputs'!$B$21</f>
        <v>1.443761E-3</v>
      </c>
    </row>
    <row r="51" spans="1:7">
      <c r="A51" s="8" t="s">
        <v>23</v>
      </c>
      <c r="B51" s="4" t="s">
        <v>18</v>
      </c>
      <c r="C51" s="12">
        <v>7.0705999999999998</v>
      </c>
      <c r="D51" s="28">
        <v>0.19133333299999999</v>
      </c>
      <c r="E51" s="19">
        <f t="shared" si="0"/>
        <v>7.0705999999999998</v>
      </c>
      <c r="F51" s="19">
        <f>C51*'Model Inputs'!$B$20</f>
        <v>0.49494200000000005</v>
      </c>
      <c r="G51" s="31">
        <f>C51*'Model Inputs'!$B$21</f>
        <v>7.7776600000000005E-4</v>
      </c>
    </row>
    <row r="52" spans="1:7">
      <c r="A52" s="8" t="s">
        <v>23</v>
      </c>
      <c r="B52" s="4" t="s">
        <v>27</v>
      </c>
      <c r="C52" s="12">
        <v>15.052199999999999</v>
      </c>
      <c r="D52" s="28">
        <v>0.29752777800000002</v>
      </c>
      <c r="E52" s="19">
        <f t="shared" si="0"/>
        <v>15.052199999999999</v>
      </c>
      <c r="F52" s="19">
        <f>C52*'Model Inputs'!$B$20</f>
        <v>1.0536540000000001</v>
      </c>
      <c r="G52" s="31">
        <f>C52*'Model Inputs'!$B$21</f>
        <v>1.655742E-3</v>
      </c>
    </row>
    <row r="53" spans="1:7">
      <c r="A53" s="8" t="s">
        <v>23</v>
      </c>
      <c r="B53" s="4" t="s">
        <v>31</v>
      </c>
      <c r="C53" s="12">
        <v>18.238099999999999</v>
      </c>
      <c r="D53" s="28">
        <v>0.36752777800000003</v>
      </c>
      <c r="E53" s="19">
        <f t="shared" si="0"/>
        <v>18.238099999999999</v>
      </c>
      <c r="F53" s="19">
        <f>C53*'Model Inputs'!$B$20</f>
        <v>1.276667</v>
      </c>
      <c r="G53" s="31">
        <f>C53*'Model Inputs'!$B$21</f>
        <v>2.0061910000000001E-3</v>
      </c>
    </row>
    <row r="54" spans="1:7">
      <c r="A54" s="8" t="s">
        <v>23</v>
      </c>
      <c r="B54" s="4" t="s">
        <v>35</v>
      </c>
      <c r="C54" s="12">
        <v>14.0664</v>
      </c>
      <c r="D54" s="28">
        <v>0.26905555599999997</v>
      </c>
      <c r="E54" s="19">
        <f t="shared" si="0"/>
        <v>14.0664</v>
      </c>
      <c r="F54" s="19">
        <f>C54*'Model Inputs'!$B$20</f>
        <v>0.98464800000000008</v>
      </c>
      <c r="G54" s="31">
        <f>C54*'Model Inputs'!$B$21</f>
        <v>1.547304E-3</v>
      </c>
    </row>
    <row r="55" spans="1:7">
      <c r="A55" s="8" t="s">
        <v>23</v>
      </c>
      <c r="B55" s="4" t="s">
        <v>38</v>
      </c>
      <c r="C55" s="12">
        <v>36.389600000000002</v>
      </c>
      <c r="D55" s="28">
        <v>0.62697222200000002</v>
      </c>
      <c r="E55" s="19">
        <f t="shared" si="0"/>
        <v>36.389600000000002</v>
      </c>
      <c r="F55" s="19">
        <f>C55*'Model Inputs'!$B$20</f>
        <v>2.5472720000000004</v>
      </c>
      <c r="G55" s="31">
        <f>C55*'Model Inputs'!$B$21</f>
        <v>4.0028559999999999E-3</v>
      </c>
    </row>
    <row r="56" spans="1:7">
      <c r="A56" s="8" t="s">
        <v>23</v>
      </c>
      <c r="B56" s="4" t="s">
        <v>42</v>
      </c>
      <c r="C56" s="12">
        <v>17.602499999999999</v>
      </c>
      <c r="D56" s="28">
        <v>0.321944444</v>
      </c>
      <c r="E56" s="19">
        <f t="shared" si="0"/>
        <v>17.602499999999999</v>
      </c>
      <c r="F56" s="19">
        <f>C56*'Model Inputs'!$B$20</f>
        <v>1.232175</v>
      </c>
      <c r="G56" s="31">
        <f>C56*'Model Inputs'!$B$21</f>
        <v>1.9362749999999999E-3</v>
      </c>
    </row>
    <row r="57" spans="1:7">
      <c r="A57" s="8" t="s">
        <v>23</v>
      </c>
      <c r="B57" s="4" t="s">
        <v>46</v>
      </c>
      <c r="C57" s="12">
        <v>12.854900000000001</v>
      </c>
      <c r="D57" s="28">
        <v>0.27600000000000002</v>
      </c>
      <c r="E57" s="19">
        <f t="shared" si="0"/>
        <v>12.854900000000001</v>
      </c>
      <c r="F57" s="19">
        <f>C57*'Model Inputs'!$B$20</f>
        <v>0.89984300000000017</v>
      </c>
      <c r="G57" s="31">
        <f>C57*'Model Inputs'!$B$21</f>
        <v>1.4140390000000002E-3</v>
      </c>
    </row>
    <row r="58" spans="1:7">
      <c r="A58" s="8" t="s">
        <v>23</v>
      </c>
      <c r="B58" s="4" t="s">
        <v>49</v>
      </c>
      <c r="C58" s="12">
        <v>34.171900000000001</v>
      </c>
      <c r="D58" s="28">
        <v>0.60641666699999996</v>
      </c>
      <c r="E58" s="19">
        <f t="shared" si="0"/>
        <v>34.171900000000001</v>
      </c>
      <c r="F58" s="19">
        <f>C58*'Model Inputs'!$B$20</f>
        <v>2.3920330000000001</v>
      </c>
      <c r="G58" s="31">
        <f>C58*'Model Inputs'!$B$21</f>
        <v>3.7589090000000004E-3</v>
      </c>
    </row>
    <row r="59" spans="1:7">
      <c r="A59" s="8" t="s">
        <v>23</v>
      </c>
      <c r="B59" s="4" t="s">
        <v>52</v>
      </c>
      <c r="C59" s="12">
        <v>20.641999999999999</v>
      </c>
      <c r="D59" s="28">
        <v>0.43508333300000002</v>
      </c>
      <c r="E59" s="19">
        <f t="shared" si="0"/>
        <v>20.641999999999999</v>
      </c>
      <c r="F59" s="19">
        <f>C59*'Model Inputs'!$B$20</f>
        <v>1.4449400000000001</v>
      </c>
      <c r="G59" s="31">
        <f>C59*'Model Inputs'!$B$21</f>
        <v>2.2706200000000001E-3</v>
      </c>
    </row>
    <row r="60" spans="1:7">
      <c r="A60" s="8" t="s">
        <v>23</v>
      </c>
      <c r="B60" s="4" t="s">
        <v>55</v>
      </c>
      <c r="C60" s="12">
        <v>19.8309</v>
      </c>
      <c r="D60" s="28">
        <v>0.44636111099999998</v>
      </c>
      <c r="E60" s="19">
        <f t="shared" si="0"/>
        <v>19.8309</v>
      </c>
      <c r="F60" s="19">
        <f>C60*'Model Inputs'!$B$20</f>
        <v>1.388163</v>
      </c>
      <c r="G60" s="31">
        <f>C60*'Model Inputs'!$B$21</f>
        <v>2.1813990000000001E-3</v>
      </c>
    </row>
    <row r="61" spans="1:7">
      <c r="A61" s="8" t="s">
        <v>23</v>
      </c>
      <c r="B61" s="4" t="s">
        <v>58</v>
      </c>
      <c r="C61" s="12">
        <v>23.418500000000002</v>
      </c>
      <c r="D61" s="28">
        <v>0.462138889</v>
      </c>
      <c r="E61" s="19">
        <f t="shared" si="0"/>
        <v>23.418500000000002</v>
      </c>
      <c r="F61" s="19">
        <f>C61*'Model Inputs'!$B$20</f>
        <v>1.6392950000000002</v>
      </c>
      <c r="G61" s="31">
        <f>C61*'Model Inputs'!$B$21</f>
        <v>2.5760350000000004E-3</v>
      </c>
    </row>
    <row r="62" spans="1:7">
      <c r="A62" s="8" t="s">
        <v>23</v>
      </c>
      <c r="B62" s="4" t="s">
        <v>61</v>
      </c>
      <c r="C62" s="12">
        <v>20.576000000000001</v>
      </c>
      <c r="D62" s="28">
        <v>0.36330555599999997</v>
      </c>
      <c r="E62" s="19">
        <f t="shared" si="0"/>
        <v>20.576000000000001</v>
      </c>
      <c r="F62" s="19">
        <f>C62*'Model Inputs'!$B$20</f>
        <v>1.4403200000000003</v>
      </c>
      <c r="G62" s="31">
        <f>C62*'Model Inputs'!$B$21</f>
        <v>2.2633600000000003E-3</v>
      </c>
    </row>
    <row r="63" spans="1:7">
      <c r="A63" s="8" t="s">
        <v>23</v>
      </c>
      <c r="B63" s="4" t="s">
        <v>64</v>
      </c>
      <c r="C63" s="12">
        <v>21.561599999999999</v>
      </c>
      <c r="D63" s="28">
        <v>0.42749999999999999</v>
      </c>
      <c r="E63" s="19">
        <f t="shared" si="0"/>
        <v>21.561599999999999</v>
      </c>
      <c r="F63" s="19">
        <f>C63*'Model Inputs'!$B$20</f>
        <v>1.509312</v>
      </c>
      <c r="G63" s="31">
        <f>C63*'Model Inputs'!$B$21</f>
        <v>2.3717759999999999E-3</v>
      </c>
    </row>
    <row r="64" spans="1:7">
      <c r="A64" s="8" t="s">
        <v>23</v>
      </c>
      <c r="B64" s="4" t="s">
        <v>67</v>
      </c>
      <c r="C64" s="12">
        <v>13.8157</v>
      </c>
      <c r="D64" s="28">
        <v>0.2505</v>
      </c>
      <c r="E64" s="19">
        <f t="shared" si="0"/>
        <v>13.8157</v>
      </c>
      <c r="F64" s="19">
        <f>C64*'Model Inputs'!$B$20</f>
        <v>0.96709900000000004</v>
      </c>
      <c r="G64" s="31">
        <f>C64*'Model Inputs'!$B$21</f>
        <v>1.519727E-3</v>
      </c>
    </row>
    <row r="65" spans="1:7">
      <c r="A65" s="8" t="s">
        <v>23</v>
      </c>
      <c r="B65" s="4" t="s">
        <v>70</v>
      </c>
      <c r="C65" s="12">
        <v>26.1311</v>
      </c>
      <c r="D65" s="28">
        <v>0.55038888900000005</v>
      </c>
      <c r="E65" s="19">
        <f t="shared" si="0"/>
        <v>26.1311</v>
      </c>
      <c r="F65" s="19">
        <f>C65*'Model Inputs'!$B$20</f>
        <v>1.8291770000000003</v>
      </c>
      <c r="G65" s="31">
        <f>C65*'Model Inputs'!$B$21</f>
        <v>2.8744210000000003E-3</v>
      </c>
    </row>
    <row r="66" spans="1:7">
      <c r="A66" s="8" t="s">
        <v>23</v>
      </c>
      <c r="B66" s="4" t="s">
        <v>73</v>
      </c>
      <c r="C66" s="12">
        <v>22.2621</v>
      </c>
      <c r="D66" s="28">
        <v>0.423666667</v>
      </c>
      <c r="E66" s="19">
        <f t="shared" ref="E66:E129" si="1">C66</f>
        <v>22.2621</v>
      </c>
      <c r="F66" s="19">
        <f>C66*'Model Inputs'!$B$20</f>
        <v>1.5583470000000001</v>
      </c>
      <c r="G66" s="31">
        <f>C66*'Model Inputs'!$B$21</f>
        <v>2.4488310000000003E-3</v>
      </c>
    </row>
    <row r="67" spans="1:7">
      <c r="A67" s="8" t="s">
        <v>23</v>
      </c>
      <c r="B67" s="4" t="s">
        <v>76</v>
      </c>
      <c r="C67" s="12">
        <v>9.5731999999999999</v>
      </c>
      <c r="D67" s="28">
        <v>0.23613888899999999</v>
      </c>
      <c r="E67" s="19">
        <f t="shared" si="1"/>
        <v>9.5731999999999999</v>
      </c>
      <c r="F67" s="19">
        <f>C67*'Model Inputs'!$B$20</f>
        <v>0.67012400000000005</v>
      </c>
      <c r="G67" s="31">
        <f>C67*'Model Inputs'!$B$21</f>
        <v>1.0530520000000001E-3</v>
      </c>
    </row>
    <row r="68" spans="1:7">
      <c r="A68" s="8" t="s">
        <v>23</v>
      </c>
      <c r="B68" s="4" t="s">
        <v>79</v>
      </c>
      <c r="C68" s="12">
        <v>9.6890000000000001</v>
      </c>
      <c r="D68" s="28">
        <v>0.29011111099999998</v>
      </c>
      <c r="E68" s="19">
        <f t="shared" si="1"/>
        <v>9.6890000000000001</v>
      </c>
      <c r="F68" s="19">
        <f>C68*'Model Inputs'!$B$20</f>
        <v>0.67823000000000011</v>
      </c>
      <c r="G68" s="31">
        <f>C68*'Model Inputs'!$B$21</f>
        <v>1.0657900000000001E-3</v>
      </c>
    </row>
    <row r="69" spans="1:7">
      <c r="A69" s="8" t="s">
        <v>23</v>
      </c>
      <c r="B69" s="4" t="s">
        <v>82</v>
      </c>
      <c r="C69" s="12">
        <v>14.1205</v>
      </c>
      <c r="D69" s="28">
        <v>0.33061111100000001</v>
      </c>
      <c r="E69" s="19">
        <f t="shared" si="1"/>
        <v>14.1205</v>
      </c>
      <c r="F69" s="19">
        <f>C69*'Model Inputs'!$B$20</f>
        <v>0.98843500000000006</v>
      </c>
      <c r="G69" s="31">
        <f>C69*'Model Inputs'!$B$21</f>
        <v>1.5532550000000001E-3</v>
      </c>
    </row>
    <row r="70" spans="1:7">
      <c r="A70" s="8" t="s">
        <v>23</v>
      </c>
      <c r="B70" s="4" t="s">
        <v>85</v>
      </c>
      <c r="C70" s="12">
        <v>14.365399999999999</v>
      </c>
      <c r="D70" s="28">
        <v>0.29513888900000002</v>
      </c>
      <c r="E70" s="19">
        <f t="shared" si="1"/>
        <v>14.365399999999999</v>
      </c>
      <c r="F70" s="19">
        <f>C70*'Model Inputs'!$B$20</f>
        <v>1.0055780000000001</v>
      </c>
      <c r="G70" s="31">
        <f>C70*'Model Inputs'!$B$21</f>
        <v>1.580194E-3</v>
      </c>
    </row>
    <row r="71" spans="1:7">
      <c r="A71" s="8" t="s">
        <v>23</v>
      </c>
      <c r="B71" s="4" t="s">
        <v>89</v>
      </c>
      <c r="C71" s="12">
        <v>16.521000000000001</v>
      </c>
      <c r="D71" s="28">
        <v>0.35069444399999999</v>
      </c>
      <c r="E71" s="19">
        <f t="shared" si="1"/>
        <v>16.521000000000001</v>
      </c>
      <c r="F71" s="19">
        <f>C71*'Model Inputs'!$B$20</f>
        <v>1.1564700000000001</v>
      </c>
      <c r="G71" s="31">
        <f>C71*'Model Inputs'!$B$21</f>
        <v>1.8173100000000001E-3</v>
      </c>
    </row>
    <row r="72" spans="1:7">
      <c r="A72" s="8" t="s">
        <v>23</v>
      </c>
      <c r="B72" s="4" t="s">
        <v>92</v>
      </c>
      <c r="C72" s="12">
        <v>2.2763</v>
      </c>
      <c r="D72" s="28">
        <v>8.5027777999999998E-2</v>
      </c>
      <c r="E72" s="19">
        <f t="shared" si="1"/>
        <v>2.2763</v>
      </c>
      <c r="F72" s="19">
        <f>C72*'Model Inputs'!$B$20</f>
        <v>0.15934100000000001</v>
      </c>
      <c r="G72" s="31">
        <f>C72*'Model Inputs'!$B$21</f>
        <v>2.5039300000000001E-4</v>
      </c>
    </row>
    <row r="73" spans="1:7">
      <c r="A73" s="8" t="s">
        <v>23</v>
      </c>
      <c r="B73" s="4" t="s">
        <v>95</v>
      </c>
      <c r="C73" s="12">
        <v>21.0075</v>
      </c>
      <c r="D73" s="28">
        <v>0.42608333300000001</v>
      </c>
      <c r="E73" s="19">
        <f t="shared" si="1"/>
        <v>21.0075</v>
      </c>
      <c r="F73" s="19">
        <f>C73*'Model Inputs'!$B$20</f>
        <v>1.4705250000000001</v>
      </c>
      <c r="G73" s="31">
        <f>C73*'Model Inputs'!$B$21</f>
        <v>2.3108250000000003E-3</v>
      </c>
    </row>
    <row r="74" spans="1:7">
      <c r="A74" s="8" t="s">
        <v>27</v>
      </c>
      <c r="B74" s="4" t="s">
        <v>2</v>
      </c>
      <c r="C74" s="12">
        <v>8.8427000000000007</v>
      </c>
      <c r="D74" s="28">
        <v>0.231305556</v>
      </c>
      <c r="E74" s="19">
        <f t="shared" si="1"/>
        <v>8.8427000000000007</v>
      </c>
      <c r="F74" s="19">
        <f>C74*'Model Inputs'!$B$20</f>
        <v>0.61898900000000012</v>
      </c>
      <c r="G74" s="31">
        <f>C74*'Model Inputs'!$B$21</f>
        <v>9.7269700000000012E-4</v>
      </c>
    </row>
    <row r="75" spans="1:7">
      <c r="A75" s="8" t="s">
        <v>27</v>
      </c>
      <c r="B75" s="4" t="s">
        <v>18</v>
      </c>
      <c r="C75" s="12">
        <v>15.2643</v>
      </c>
      <c r="D75" s="28">
        <v>0.368777778</v>
      </c>
      <c r="E75" s="19">
        <f t="shared" si="1"/>
        <v>15.2643</v>
      </c>
      <c r="F75" s="19">
        <f>C75*'Model Inputs'!$B$20</f>
        <v>1.0685010000000001</v>
      </c>
      <c r="G75" s="31">
        <f>C75*'Model Inputs'!$B$21</f>
        <v>1.6790730000000001E-3</v>
      </c>
    </row>
    <row r="76" spans="1:7">
      <c r="A76" s="8" t="s">
        <v>27</v>
      </c>
      <c r="B76" s="4" t="s">
        <v>23</v>
      </c>
      <c r="C76" s="12">
        <v>14.463800000000001</v>
      </c>
      <c r="D76" s="28">
        <v>0.32386111099999998</v>
      </c>
      <c r="E76" s="19">
        <f t="shared" si="1"/>
        <v>14.463800000000001</v>
      </c>
      <c r="F76" s="19">
        <f>C76*'Model Inputs'!$B$20</f>
        <v>1.0124660000000001</v>
      </c>
      <c r="G76" s="31">
        <f>C76*'Model Inputs'!$B$21</f>
        <v>1.5910180000000002E-3</v>
      </c>
    </row>
    <row r="77" spans="1:7">
      <c r="A77" s="8" t="s">
        <v>27</v>
      </c>
      <c r="B77" s="4" t="s">
        <v>31</v>
      </c>
      <c r="C77" s="12">
        <v>10.297599999999999</v>
      </c>
      <c r="D77" s="28">
        <v>0.21269444400000001</v>
      </c>
      <c r="E77" s="19">
        <f t="shared" si="1"/>
        <v>10.297599999999999</v>
      </c>
      <c r="F77" s="19">
        <f>C77*'Model Inputs'!$B$20</f>
        <v>0.72083200000000003</v>
      </c>
      <c r="G77" s="31">
        <f>C77*'Model Inputs'!$B$21</f>
        <v>1.1327359999999999E-3</v>
      </c>
    </row>
    <row r="78" spans="1:7">
      <c r="A78" s="8" t="s">
        <v>27</v>
      </c>
      <c r="B78" s="4" t="s">
        <v>35</v>
      </c>
      <c r="C78" s="12">
        <v>14.4823</v>
      </c>
      <c r="D78" s="28">
        <v>0.35575000000000001</v>
      </c>
      <c r="E78" s="19">
        <f t="shared" si="1"/>
        <v>14.4823</v>
      </c>
      <c r="F78" s="19">
        <f>C78*'Model Inputs'!$B$20</f>
        <v>1.0137610000000001</v>
      </c>
      <c r="G78" s="31">
        <f>C78*'Model Inputs'!$B$21</f>
        <v>1.5930530000000001E-3</v>
      </c>
    </row>
    <row r="79" spans="1:7">
      <c r="A79" s="8" t="s">
        <v>27</v>
      </c>
      <c r="B79" s="4" t="s">
        <v>38</v>
      </c>
      <c r="C79" s="12">
        <v>28.449100000000001</v>
      </c>
      <c r="D79" s="28">
        <v>0.47213888900000001</v>
      </c>
      <c r="E79" s="19">
        <f t="shared" si="1"/>
        <v>28.449100000000001</v>
      </c>
      <c r="F79" s="19">
        <f>C79*'Model Inputs'!$B$20</f>
        <v>1.9914370000000003</v>
      </c>
      <c r="G79" s="31">
        <f>C79*'Model Inputs'!$B$21</f>
        <v>3.1294010000000004E-3</v>
      </c>
    </row>
    <row r="80" spans="1:7">
      <c r="A80" s="8" t="s">
        <v>27</v>
      </c>
      <c r="B80" s="4" t="s">
        <v>42</v>
      </c>
      <c r="C80" s="12">
        <v>20.947299999999998</v>
      </c>
      <c r="D80" s="28">
        <v>0.38738888900000001</v>
      </c>
      <c r="E80" s="19">
        <f t="shared" si="1"/>
        <v>20.947299999999998</v>
      </c>
      <c r="F80" s="19">
        <f>C80*'Model Inputs'!$B$20</f>
        <v>1.4663110000000001</v>
      </c>
      <c r="G80" s="31">
        <f>C80*'Model Inputs'!$B$21</f>
        <v>2.3042029999999999E-3</v>
      </c>
    </row>
    <row r="81" spans="1:7">
      <c r="A81" s="8" t="s">
        <v>27</v>
      </c>
      <c r="B81" s="4" t="s">
        <v>46</v>
      </c>
      <c r="C81" s="12">
        <v>7.7967000000000004</v>
      </c>
      <c r="D81" s="28">
        <v>0.21249999999999999</v>
      </c>
      <c r="E81" s="19">
        <f t="shared" si="1"/>
        <v>7.7967000000000004</v>
      </c>
      <c r="F81" s="19">
        <f>C81*'Model Inputs'!$B$20</f>
        <v>0.54576900000000006</v>
      </c>
      <c r="G81" s="31">
        <f>C81*'Model Inputs'!$B$21</f>
        <v>8.5763700000000007E-4</v>
      </c>
    </row>
    <row r="82" spans="1:7">
      <c r="A82" s="8" t="s">
        <v>27</v>
      </c>
      <c r="B82" s="4" t="s">
        <v>49</v>
      </c>
      <c r="C82" s="12">
        <v>26.2315</v>
      </c>
      <c r="D82" s="28">
        <v>0.45158333299999998</v>
      </c>
      <c r="E82" s="19">
        <f t="shared" si="1"/>
        <v>26.2315</v>
      </c>
      <c r="F82" s="19">
        <f>C82*'Model Inputs'!$B$20</f>
        <v>1.8362050000000003</v>
      </c>
      <c r="G82" s="31">
        <f>C82*'Model Inputs'!$B$21</f>
        <v>2.8854650000000003E-3</v>
      </c>
    </row>
    <row r="83" spans="1:7">
      <c r="A83" s="8" t="s">
        <v>27</v>
      </c>
      <c r="B83" s="4" t="s">
        <v>52</v>
      </c>
      <c r="C83" s="12">
        <v>16.164300000000001</v>
      </c>
      <c r="D83" s="28">
        <v>0.39988888900000003</v>
      </c>
      <c r="E83" s="19">
        <f t="shared" si="1"/>
        <v>16.164300000000001</v>
      </c>
      <c r="F83" s="19">
        <f>C83*'Model Inputs'!$B$20</f>
        <v>1.1315010000000001</v>
      </c>
      <c r="G83" s="31">
        <f>C83*'Model Inputs'!$B$21</f>
        <v>1.7780730000000002E-3</v>
      </c>
    </row>
    <row r="84" spans="1:7">
      <c r="A84" s="8" t="s">
        <v>27</v>
      </c>
      <c r="B84" s="4" t="s">
        <v>55</v>
      </c>
      <c r="C84" s="12">
        <v>7.4717000000000002</v>
      </c>
      <c r="D84" s="28">
        <v>0.18666666700000001</v>
      </c>
      <c r="E84" s="19">
        <f t="shared" si="1"/>
        <v>7.4717000000000002</v>
      </c>
      <c r="F84" s="19">
        <f>C84*'Model Inputs'!$B$20</f>
        <v>0.52301900000000001</v>
      </c>
      <c r="G84" s="31">
        <f>C84*'Model Inputs'!$B$21</f>
        <v>8.2188700000000009E-4</v>
      </c>
    </row>
    <row r="85" spans="1:7">
      <c r="A85" s="8" t="s">
        <v>27</v>
      </c>
      <c r="B85" s="4" t="s">
        <v>58</v>
      </c>
      <c r="C85" s="12">
        <v>22.553599999999999</v>
      </c>
      <c r="D85" s="28">
        <v>0.36588888899999999</v>
      </c>
      <c r="E85" s="19">
        <f t="shared" si="1"/>
        <v>22.553599999999999</v>
      </c>
      <c r="F85" s="19">
        <f>C85*'Model Inputs'!$B$20</f>
        <v>1.5787520000000002</v>
      </c>
      <c r="G85" s="31">
        <f>C85*'Model Inputs'!$B$21</f>
        <v>2.4808960000000002E-3</v>
      </c>
    </row>
    <row r="86" spans="1:7">
      <c r="A86" s="8" t="s">
        <v>27</v>
      </c>
      <c r="B86" s="4" t="s">
        <v>61</v>
      </c>
      <c r="C86" s="12">
        <v>13.321</v>
      </c>
      <c r="D86" s="28">
        <v>0.23844444400000001</v>
      </c>
      <c r="E86" s="19">
        <f t="shared" si="1"/>
        <v>13.321</v>
      </c>
      <c r="F86" s="19">
        <f>C86*'Model Inputs'!$B$20</f>
        <v>0.93247000000000002</v>
      </c>
      <c r="G86" s="31">
        <f>C86*'Model Inputs'!$B$21</f>
        <v>1.46531E-3</v>
      </c>
    </row>
    <row r="87" spans="1:7">
      <c r="A87" s="8" t="s">
        <v>27</v>
      </c>
      <c r="B87" s="4" t="s">
        <v>64</v>
      </c>
      <c r="C87" s="12">
        <v>13.6212</v>
      </c>
      <c r="D87" s="28">
        <v>0.27266666699999997</v>
      </c>
      <c r="E87" s="19">
        <f t="shared" si="1"/>
        <v>13.6212</v>
      </c>
      <c r="F87" s="19">
        <f>C87*'Model Inputs'!$B$20</f>
        <v>0.95348400000000011</v>
      </c>
      <c r="G87" s="31">
        <f>C87*'Model Inputs'!$B$21</f>
        <v>1.498332E-3</v>
      </c>
    </row>
    <row r="88" spans="1:7">
      <c r="A88" s="8" t="s">
        <v>27</v>
      </c>
      <c r="B88" s="4" t="s">
        <v>67</v>
      </c>
      <c r="C88" s="12">
        <v>27.455400000000001</v>
      </c>
      <c r="D88" s="28">
        <v>0.51727777799999997</v>
      </c>
      <c r="E88" s="19">
        <f t="shared" si="1"/>
        <v>27.455400000000001</v>
      </c>
      <c r="F88" s="19">
        <f>C88*'Model Inputs'!$B$20</f>
        <v>1.9218780000000002</v>
      </c>
      <c r="G88" s="31">
        <f>C88*'Model Inputs'!$B$21</f>
        <v>3.0200940000000001E-3</v>
      </c>
    </row>
    <row r="89" spans="1:7">
      <c r="A89" s="8" t="s">
        <v>27</v>
      </c>
      <c r="B89" s="4" t="s">
        <v>70</v>
      </c>
      <c r="C89" s="12">
        <v>30.697600000000001</v>
      </c>
      <c r="D89" s="28">
        <v>0.58202777800000005</v>
      </c>
      <c r="E89" s="19">
        <f t="shared" si="1"/>
        <v>30.697600000000001</v>
      </c>
      <c r="F89" s="19">
        <f>C89*'Model Inputs'!$B$20</f>
        <v>2.1488320000000005</v>
      </c>
      <c r="G89" s="31">
        <f>C89*'Model Inputs'!$B$21</f>
        <v>3.3767360000000004E-3</v>
      </c>
    </row>
    <row r="90" spans="1:7">
      <c r="A90" s="8" t="s">
        <v>27</v>
      </c>
      <c r="B90" s="4" t="s">
        <v>73</v>
      </c>
      <c r="C90" s="12">
        <v>27.9709</v>
      </c>
      <c r="D90" s="28">
        <v>0.63897222200000003</v>
      </c>
      <c r="E90" s="19">
        <f t="shared" si="1"/>
        <v>27.9709</v>
      </c>
      <c r="F90" s="19">
        <f>C90*'Model Inputs'!$B$20</f>
        <v>1.9579630000000001</v>
      </c>
      <c r="G90" s="31">
        <f>C90*'Model Inputs'!$B$21</f>
        <v>3.0767990000000003E-3</v>
      </c>
    </row>
    <row r="91" spans="1:7">
      <c r="A91" s="8" t="s">
        <v>27</v>
      </c>
      <c r="B91" s="4" t="s">
        <v>76</v>
      </c>
      <c r="C91" s="12">
        <v>23.079000000000001</v>
      </c>
      <c r="D91" s="28">
        <v>0.462138889</v>
      </c>
      <c r="E91" s="19">
        <f t="shared" si="1"/>
        <v>23.079000000000001</v>
      </c>
      <c r="F91" s="19">
        <f>C91*'Model Inputs'!$B$20</f>
        <v>1.6155300000000001</v>
      </c>
      <c r="G91" s="31">
        <f>C91*'Model Inputs'!$B$21</f>
        <v>2.5386900000000001E-3</v>
      </c>
    </row>
    <row r="92" spans="1:7">
      <c r="A92" s="8" t="s">
        <v>27</v>
      </c>
      <c r="B92" s="4" t="s">
        <v>79</v>
      </c>
      <c r="C92" s="12">
        <v>23.328700000000001</v>
      </c>
      <c r="D92" s="28">
        <v>0.556888889</v>
      </c>
      <c r="E92" s="19">
        <f t="shared" si="1"/>
        <v>23.328700000000001</v>
      </c>
      <c r="F92" s="19">
        <f>C92*'Model Inputs'!$B$20</f>
        <v>1.6330090000000002</v>
      </c>
      <c r="G92" s="31">
        <f>C92*'Model Inputs'!$B$21</f>
        <v>2.5661570000000003E-3</v>
      </c>
    </row>
    <row r="93" spans="1:7">
      <c r="A93" s="8" t="s">
        <v>27</v>
      </c>
      <c r="B93" s="4" t="s">
        <v>82</v>
      </c>
      <c r="C93" s="12">
        <v>21.0595</v>
      </c>
      <c r="D93" s="28">
        <v>0.479583333</v>
      </c>
      <c r="E93" s="19">
        <f t="shared" si="1"/>
        <v>21.0595</v>
      </c>
      <c r="F93" s="19">
        <f>C93*'Model Inputs'!$B$20</f>
        <v>1.4741650000000002</v>
      </c>
      <c r="G93" s="31">
        <f>C93*'Model Inputs'!$B$21</f>
        <v>2.3165450000000001E-3</v>
      </c>
    </row>
    <row r="94" spans="1:7">
      <c r="A94" s="8" t="s">
        <v>27</v>
      </c>
      <c r="B94" s="4" t="s">
        <v>85</v>
      </c>
      <c r="C94" s="12">
        <v>8.6465999999999994</v>
      </c>
      <c r="D94" s="28">
        <v>0.16325000000000001</v>
      </c>
      <c r="E94" s="19">
        <f t="shared" si="1"/>
        <v>8.6465999999999994</v>
      </c>
      <c r="F94" s="19">
        <f>C94*'Model Inputs'!$B$20</f>
        <v>0.60526199999999997</v>
      </c>
      <c r="G94" s="31">
        <f>C94*'Model Inputs'!$B$21</f>
        <v>9.5112599999999995E-4</v>
      </c>
    </row>
    <row r="95" spans="1:7">
      <c r="A95" s="8" t="s">
        <v>27</v>
      </c>
      <c r="B95" s="4" t="s">
        <v>89</v>
      </c>
      <c r="C95" s="12">
        <v>14.439299999999999</v>
      </c>
      <c r="D95" s="28">
        <v>0.35641666700000002</v>
      </c>
      <c r="E95" s="19">
        <f t="shared" si="1"/>
        <v>14.439299999999999</v>
      </c>
      <c r="F95" s="19">
        <f>C95*'Model Inputs'!$B$20</f>
        <v>1.010751</v>
      </c>
      <c r="G95" s="31">
        <f>C95*'Model Inputs'!$B$21</f>
        <v>1.588323E-3</v>
      </c>
    </row>
    <row r="96" spans="1:7">
      <c r="A96" s="8" t="s">
        <v>27</v>
      </c>
      <c r="B96" s="4" t="s">
        <v>92</v>
      </c>
      <c r="C96" s="12">
        <v>13.385899999999999</v>
      </c>
      <c r="D96" s="28">
        <v>0.30791666699999998</v>
      </c>
      <c r="E96" s="19">
        <f t="shared" si="1"/>
        <v>13.385899999999999</v>
      </c>
      <c r="F96" s="19">
        <f>C96*'Model Inputs'!$B$20</f>
        <v>0.9370130000000001</v>
      </c>
      <c r="G96" s="31">
        <f>C96*'Model Inputs'!$B$21</f>
        <v>1.472449E-3</v>
      </c>
    </row>
    <row r="97" spans="1:7">
      <c r="A97" s="8" t="s">
        <v>27</v>
      </c>
      <c r="B97" s="4" t="s">
        <v>95</v>
      </c>
      <c r="C97" s="12">
        <v>20.555</v>
      </c>
      <c r="D97" s="28">
        <v>0.33336111099999999</v>
      </c>
      <c r="E97" s="19">
        <f t="shared" si="1"/>
        <v>20.555</v>
      </c>
      <c r="F97" s="19">
        <f>C97*'Model Inputs'!$B$20</f>
        <v>1.4388500000000002</v>
      </c>
      <c r="G97" s="31">
        <f>C97*'Model Inputs'!$B$21</f>
        <v>2.2610500000000001E-3</v>
      </c>
    </row>
    <row r="98" spans="1:7">
      <c r="A98" s="8" t="s">
        <v>31</v>
      </c>
      <c r="B98" s="4" t="s">
        <v>2</v>
      </c>
      <c r="C98" s="12">
        <v>16.609100000000002</v>
      </c>
      <c r="D98" s="28">
        <v>0.33572222200000001</v>
      </c>
      <c r="E98" s="19">
        <f t="shared" si="1"/>
        <v>16.609100000000002</v>
      </c>
      <c r="F98" s="19">
        <f>C98*'Model Inputs'!$B$20</f>
        <v>1.1626370000000001</v>
      </c>
      <c r="G98" s="31">
        <f>C98*'Model Inputs'!$B$21</f>
        <v>1.8270010000000002E-3</v>
      </c>
    </row>
    <row r="99" spans="1:7">
      <c r="A99" s="8" t="s">
        <v>31</v>
      </c>
      <c r="B99" s="4" t="s">
        <v>18</v>
      </c>
      <c r="C99" s="12">
        <v>21.7758</v>
      </c>
      <c r="D99" s="28">
        <v>0.44908333299999997</v>
      </c>
      <c r="E99" s="19">
        <f t="shared" si="1"/>
        <v>21.7758</v>
      </c>
      <c r="F99" s="19">
        <f>C99*'Model Inputs'!$B$20</f>
        <v>1.5243060000000002</v>
      </c>
      <c r="G99" s="31">
        <f>C99*'Model Inputs'!$B$21</f>
        <v>2.3953380000000003E-3</v>
      </c>
    </row>
    <row r="100" spans="1:7">
      <c r="A100" s="8" t="s">
        <v>31</v>
      </c>
      <c r="B100" s="4" t="s">
        <v>23</v>
      </c>
      <c r="C100" s="12">
        <v>17.749400000000001</v>
      </c>
      <c r="D100" s="28">
        <v>0.35075000000000001</v>
      </c>
      <c r="E100" s="19">
        <f t="shared" si="1"/>
        <v>17.749400000000001</v>
      </c>
      <c r="F100" s="19">
        <f>C100*'Model Inputs'!$B$20</f>
        <v>1.2424580000000003</v>
      </c>
      <c r="G100" s="31">
        <f>C100*'Model Inputs'!$B$21</f>
        <v>1.9524340000000003E-3</v>
      </c>
    </row>
    <row r="101" spans="1:7">
      <c r="A101" s="8" t="s">
        <v>31</v>
      </c>
      <c r="B101" s="4" t="s">
        <v>27</v>
      </c>
      <c r="C101" s="12">
        <v>9.9834999999999994</v>
      </c>
      <c r="D101" s="28">
        <v>0.23036111100000001</v>
      </c>
      <c r="E101" s="19">
        <f t="shared" si="1"/>
        <v>9.9834999999999994</v>
      </c>
      <c r="F101" s="19">
        <f>C101*'Model Inputs'!$B$20</f>
        <v>0.69884500000000005</v>
      </c>
      <c r="G101" s="31">
        <f>C101*'Model Inputs'!$B$21</f>
        <v>1.098185E-3</v>
      </c>
    </row>
    <row r="102" spans="1:7">
      <c r="A102" s="8" t="s">
        <v>31</v>
      </c>
      <c r="B102" s="4" t="s">
        <v>35</v>
      </c>
      <c r="C102" s="12">
        <v>22.947500000000002</v>
      </c>
      <c r="D102" s="28">
        <v>0.38913888899999999</v>
      </c>
      <c r="E102" s="19">
        <f t="shared" si="1"/>
        <v>22.947500000000002</v>
      </c>
      <c r="F102" s="19">
        <f>C102*'Model Inputs'!$B$20</f>
        <v>1.6063250000000002</v>
      </c>
      <c r="G102" s="31">
        <f>C102*'Model Inputs'!$B$21</f>
        <v>2.5242250000000002E-3</v>
      </c>
    </row>
    <row r="103" spans="1:7">
      <c r="A103" s="8" t="s">
        <v>31</v>
      </c>
      <c r="B103" s="4" t="s">
        <v>38</v>
      </c>
      <c r="C103" s="12">
        <v>21.8994</v>
      </c>
      <c r="D103" s="28">
        <v>0.366388889</v>
      </c>
      <c r="E103" s="19">
        <f t="shared" si="1"/>
        <v>21.8994</v>
      </c>
      <c r="F103" s="19">
        <f>C103*'Model Inputs'!$B$20</f>
        <v>1.532958</v>
      </c>
      <c r="G103" s="31">
        <f>C103*'Model Inputs'!$B$21</f>
        <v>2.4089340000000002E-3</v>
      </c>
    </row>
    <row r="104" spans="1:7">
      <c r="A104" s="8" t="s">
        <v>31</v>
      </c>
      <c r="B104" s="4" t="s">
        <v>42</v>
      </c>
      <c r="C104" s="12">
        <v>21.107099999999999</v>
      </c>
      <c r="D104" s="28">
        <v>0.35172222199999997</v>
      </c>
      <c r="E104" s="19">
        <f t="shared" si="1"/>
        <v>21.107099999999999</v>
      </c>
      <c r="F104" s="19">
        <f>C104*'Model Inputs'!$B$20</f>
        <v>1.4774970000000001</v>
      </c>
      <c r="G104" s="31">
        <f>C104*'Model Inputs'!$B$21</f>
        <v>2.3217810000000002E-3</v>
      </c>
    </row>
    <row r="105" spans="1:7">
      <c r="A105" s="8" t="s">
        <v>31</v>
      </c>
      <c r="B105" s="4" t="s">
        <v>46</v>
      </c>
      <c r="C105" s="12">
        <v>10.151199999999999</v>
      </c>
      <c r="D105" s="28">
        <v>0.20402777799999999</v>
      </c>
      <c r="E105" s="19">
        <f t="shared" si="1"/>
        <v>10.151199999999999</v>
      </c>
      <c r="F105" s="19">
        <f>C105*'Model Inputs'!$B$20</f>
        <v>0.71058399999999999</v>
      </c>
      <c r="G105" s="31">
        <f>C105*'Model Inputs'!$B$21</f>
        <v>1.116632E-3</v>
      </c>
    </row>
    <row r="106" spans="1:7">
      <c r="A106" s="8" t="s">
        <v>31</v>
      </c>
      <c r="B106" s="4" t="s">
        <v>49</v>
      </c>
      <c r="C106" s="12">
        <v>16.607600000000001</v>
      </c>
      <c r="D106" s="28">
        <v>0.28963888900000001</v>
      </c>
      <c r="E106" s="19">
        <f t="shared" si="1"/>
        <v>16.607600000000001</v>
      </c>
      <c r="F106" s="19">
        <f>C106*'Model Inputs'!$B$20</f>
        <v>1.1625320000000001</v>
      </c>
      <c r="G106" s="31">
        <f>C106*'Model Inputs'!$B$21</f>
        <v>1.8268360000000003E-3</v>
      </c>
    </row>
    <row r="107" spans="1:7">
      <c r="A107" s="8" t="s">
        <v>31</v>
      </c>
      <c r="B107" s="4" t="s">
        <v>52</v>
      </c>
      <c r="C107" s="12">
        <v>24.491299999999999</v>
      </c>
      <c r="D107" s="28">
        <v>0.50083333299999999</v>
      </c>
      <c r="E107" s="19">
        <f t="shared" si="1"/>
        <v>24.491299999999999</v>
      </c>
      <c r="F107" s="19">
        <f>C107*'Model Inputs'!$B$20</f>
        <v>1.714391</v>
      </c>
      <c r="G107" s="31">
        <f>C107*'Model Inputs'!$B$21</f>
        <v>2.6940430000000001E-3</v>
      </c>
    </row>
    <row r="108" spans="1:7">
      <c r="A108" s="8" t="s">
        <v>31</v>
      </c>
      <c r="B108" s="4" t="s">
        <v>55</v>
      </c>
      <c r="C108" s="12">
        <v>15.7986</v>
      </c>
      <c r="D108" s="28">
        <v>0.28761111099999997</v>
      </c>
      <c r="E108" s="19">
        <f t="shared" si="1"/>
        <v>15.7986</v>
      </c>
      <c r="F108" s="19">
        <f>C108*'Model Inputs'!$B$20</f>
        <v>1.1059020000000002</v>
      </c>
      <c r="G108" s="31">
        <f>C108*'Model Inputs'!$B$21</f>
        <v>1.7378460000000001E-3</v>
      </c>
    </row>
    <row r="109" spans="1:7">
      <c r="A109" s="8" t="s">
        <v>31</v>
      </c>
      <c r="B109" s="4" t="s">
        <v>58</v>
      </c>
      <c r="C109" s="12">
        <v>30.880600000000001</v>
      </c>
      <c r="D109" s="28">
        <v>0.46683333300000002</v>
      </c>
      <c r="E109" s="19">
        <f t="shared" si="1"/>
        <v>30.880600000000001</v>
      </c>
      <c r="F109" s="19">
        <f>C109*'Model Inputs'!$B$20</f>
        <v>2.1616420000000005</v>
      </c>
      <c r="G109" s="31">
        <f>C109*'Model Inputs'!$B$21</f>
        <v>3.3968660000000001E-3</v>
      </c>
    </row>
    <row r="110" spans="1:7">
      <c r="A110" s="8" t="s">
        <v>31</v>
      </c>
      <c r="B110" s="4" t="s">
        <v>61</v>
      </c>
      <c r="C110" s="12">
        <v>11.478300000000001</v>
      </c>
      <c r="D110" s="28">
        <v>0.22105555599999999</v>
      </c>
      <c r="E110" s="19">
        <f t="shared" si="1"/>
        <v>11.478300000000001</v>
      </c>
      <c r="F110" s="19">
        <f>C110*'Model Inputs'!$B$20</f>
        <v>0.80348100000000011</v>
      </c>
      <c r="G110" s="31">
        <f>C110*'Model Inputs'!$B$21</f>
        <v>1.2626130000000001E-3</v>
      </c>
    </row>
    <row r="111" spans="1:7">
      <c r="A111" s="8" t="s">
        <v>31</v>
      </c>
      <c r="B111" s="4" t="s">
        <v>64</v>
      </c>
      <c r="C111" s="12">
        <v>7.0715000000000003</v>
      </c>
      <c r="D111" s="28">
        <v>0.16691666699999999</v>
      </c>
      <c r="E111" s="19">
        <f t="shared" si="1"/>
        <v>7.0715000000000003</v>
      </c>
      <c r="F111" s="19">
        <f>C111*'Model Inputs'!$B$20</f>
        <v>0.49500500000000008</v>
      </c>
      <c r="G111" s="31">
        <f>C111*'Model Inputs'!$B$21</f>
        <v>7.7786500000000009E-4</v>
      </c>
    </row>
    <row r="112" spans="1:7">
      <c r="A112" s="8" t="s">
        <v>31</v>
      </c>
      <c r="B112" s="4" t="s">
        <v>67</v>
      </c>
      <c r="C112" s="12">
        <v>30.741</v>
      </c>
      <c r="D112" s="28">
        <v>0.54416666700000005</v>
      </c>
      <c r="E112" s="19">
        <f t="shared" si="1"/>
        <v>30.741</v>
      </c>
      <c r="F112" s="19">
        <f>C112*'Model Inputs'!$B$20</f>
        <v>2.1518700000000002</v>
      </c>
      <c r="G112" s="31">
        <f>C112*'Model Inputs'!$B$21</f>
        <v>3.3815099999999999E-3</v>
      </c>
    </row>
    <row r="113" spans="1:7">
      <c r="A113" s="8" t="s">
        <v>31</v>
      </c>
      <c r="B113" s="4" t="s">
        <v>70</v>
      </c>
      <c r="C113" s="12">
        <v>39.0246</v>
      </c>
      <c r="D113" s="28">
        <v>0.68297222199999996</v>
      </c>
      <c r="E113" s="19">
        <f t="shared" si="1"/>
        <v>39.0246</v>
      </c>
      <c r="F113" s="19">
        <f>C113*'Model Inputs'!$B$20</f>
        <v>2.7317220000000004</v>
      </c>
      <c r="G113" s="31">
        <f>C113*'Model Inputs'!$B$21</f>
        <v>4.2927060000000003E-3</v>
      </c>
    </row>
    <row r="114" spans="1:7">
      <c r="A114" s="8" t="s">
        <v>31</v>
      </c>
      <c r="B114" s="4" t="s">
        <v>73</v>
      </c>
      <c r="C114" s="12">
        <v>39.187399999999997</v>
      </c>
      <c r="D114" s="28">
        <v>0.71733333300000002</v>
      </c>
      <c r="E114" s="19">
        <f t="shared" si="1"/>
        <v>39.187399999999997</v>
      </c>
      <c r="F114" s="19">
        <f>C114*'Model Inputs'!$B$20</f>
        <v>2.7431179999999999</v>
      </c>
      <c r="G114" s="31">
        <f>C114*'Model Inputs'!$B$21</f>
        <v>4.3106139999999999E-3</v>
      </c>
    </row>
    <row r="115" spans="1:7">
      <c r="A115" s="8" t="s">
        <v>31</v>
      </c>
      <c r="B115" s="4" t="s">
        <v>76</v>
      </c>
      <c r="C115" s="12">
        <v>28.5761</v>
      </c>
      <c r="D115" s="28">
        <v>0.48919444400000001</v>
      </c>
      <c r="E115" s="19">
        <f t="shared" si="1"/>
        <v>28.5761</v>
      </c>
      <c r="F115" s="19">
        <f>C115*'Model Inputs'!$B$20</f>
        <v>2.0003270000000004</v>
      </c>
      <c r="G115" s="31">
        <f>C115*'Model Inputs'!$B$21</f>
        <v>3.1433710000000003E-3</v>
      </c>
    </row>
    <row r="116" spans="1:7">
      <c r="A116" s="8" t="s">
        <v>31</v>
      </c>
      <c r="B116" s="4" t="s">
        <v>79</v>
      </c>
      <c r="C116" s="12">
        <v>26.6143</v>
      </c>
      <c r="D116" s="28">
        <v>0.58377777799999997</v>
      </c>
      <c r="E116" s="19">
        <f t="shared" si="1"/>
        <v>26.6143</v>
      </c>
      <c r="F116" s="19">
        <f>C116*'Model Inputs'!$B$20</f>
        <v>1.8630010000000001</v>
      </c>
      <c r="G116" s="31">
        <f>C116*'Model Inputs'!$B$21</f>
        <v>2.9275730000000002E-3</v>
      </c>
    </row>
    <row r="117" spans="1:7">
      <c r="A117" s="8" t="s">
        <v>31</v>
      </c>
      <c r="B117" s="4" t="s">
        <v>82</v>
      </c>
      <c r="C117" s="12">
        <v>30.874700000000001</v>
      </c>
      <c r="D117" s="28">
        <v>0.45255555600000003</v>
      </c>
      <c r="E117" s="19">
        <f t="shared" si="1"/>
        <v>30.874700000000001</v>
      </c>
      <c r="F117" s="19">
        <f>C117*'Model Inputs'!$B$20</f>
        <v>2.1612290000000001</v>
      </c>
      <c r="G117" s="31">
        <f>C117*'Model Inputs'!$B$21</f>
        <v>3.396217E-3</v>
      </c>
    </row>
    <row r="118" spans="1:7">
      <c r="A118" s="8" t="s">
        <v>31</v>
      </c>
      <c r="B118" s="4" t="s">
        <v>85</v>
      </c>
      <c r="C118" s="12">
        <v>6.8038999999999996</v>
      </c>
      <c r="D118" s="28">
        <v>0.14586111099999999</v>
      </c>
      <c r="E118" s="19">
        <f t="shared" si="1"/>
        <v>6.8038999999999996</v>
      </c>
      <c r="F118" s="19">
        <f>C118*'Model Inputs'!$B$20</f>
        <v>0.476273</v>
      </c>
      <c r="G118" s="31">
        <f>C118*'Model Inputs'!$B$21</f>
        <v>7.48429E-4</v>
      </c>
    </row>
    <row r="119" spans="1:7">
      <c r="A119" s="8" t="s">
        <v>31</v>
      </c>
      <c r="B119" s="4" t="s">
        <v>89</v>
      </c>
      <c r="C119" s="12">
        <v>22.2058</v>
      </c>
      <c r="D119" s="28">
        <v>0.46083333300000001</v>
      </c>
      <c r="E119" s="19">
        <f t="shared" si="1"/>
        <v>22.2058</v>
      </c>
      <c r="F119" s="19">
        <f>C119*'Model Inputs'!$B$20</f>
        <v>1.5544060000000002</v>
      </c>
      <c r="G119" s="31">
        <f>C119*'Model Inputs'!$B$21</f>
        <v>2.442638E-3</v>
      </c>
    </row>
    <row r="120" spans="1:7">
      <c r="A120" s="8" t="s">
        <v>31</v>
      </c>
      <c r="B120" s="4" t="s">
        <v>92</v>
      </c>
      <c r="C120" s="12">
        <v>16.671500000000002</v>
      </c>
      <c r="D120" s="28">
        <v>0.334805556</v>
      </c>
      <c r="E120" s="19">
        <f t="shared" si="1"/>
        <v>16.671500000000002</v>
      </c>
      <c r="F120" s="19">
        <f>C120*'Model Inputs'!$B$20</f>
        <v>1.1670050000000003</v>
      </c>
      <c r="G120" s="31">
        <f>C120*'Model Inputs'!$B$21</f>
        <v>1.8338650000000003E-3</v>
      </c>
    </row>
    <row r="121" spans="1:7">
      <c r="A121" s="8" t="s">
        <v>31</v>
      </c>
      <c r="B121" s="4" t="s">
        <v>95</v>
      </c>
      <c r="C121" s="12">
        <v>28.882000000000001</v>
      </c>
      <c r="D121" s="28">
        <v>0.43430555599999998</v>
      </c>
      <c r="E121" s="19">
        <f t="shared" si="1"/>
        <v>28.882000000000001</v>
      </c>
      <c r="F121" s="19">
        <f>C121*'Model Inputs'!$B$20</f>
        <v>2.0217400000000003</v>
      </c>
      <c r="G121" s="31">
        <f>C121*'Model Inputs'!$B$21</f>
        <v>3.1770200000000005E-3</v>
      </c>
    </row>
    <row r="122" spans="1:7">
      <c r="A122" s="8" t="s">
        <v>35</v>
      </c>
      <c r="B122" s="4" t="s">
        <v>2</v>
      </c>
      <c r="C122" s="12">
        <v>17.5669</v>
      </c>
      <c r="D122" s="28">
        <v>0.37394444399999999</v>
      </c>
      <c r="E122" s="19">
        <f t="shared" si="1"/>
        <v>17.5669</v>
      </c>
      <c r="F122" s="19">
        <f>C122*'Model Inputs'!$B$20</f>
        <v>1.2296830000000001</v>
      </c>
      <c r="G122" s="31">
        <f>C122*'Model Inputs'!$B$21</f>
        <v>1.932359E-3</v>
      </c>
    </row>
    <row r="123" spans="1:7">
      <c r="A123" s="8" t="s">
        <v>35</v>
      </c>
      <c r="B123" s="4" t="s">
        <v>18</v>
      </c>
      <c r="C123" s="12">
        <v>16.790700000000001</v>
      </c>
      <c r="D123" s="28">
        <v>0.36011111099999998</v>
      </c>
      <c r="E123" s="19">
        <f t="shared" si="1"/>
        <v>16.790700000000001</v>
      </c>
      <c r="F123" s="19">
        <f>C123*'Model Inputs'!$B$20</f>
        <v>1.1753490000000002</v>
      </c>
      <c r="G123" s="31">
        <f>C123*'Model Inputs'!$B$21</f>
        <v>1.8469770000000001E-3</v>
      </c>
    </row>
    <row r="124" spans="1:7">
      <c r="A124" s="8" t="s">
        <v>35</v>
      </c>
      <c r="B124" s="4" t="s">
        <v>23</v>
      </c>
      <c r="C124" s="12">
        <v>12.7643</v>
      </c>
      <c r="D124" s="28">
        <v>0.26177777800000002</v>
      </c>
      <c r="E124" s="19">
        <f t="shared" si="1"/>
        <v>12.7643</v>
      </c>
      <c r="F124" s="19">
        <f>C124*'Model Inputs'!$B$20</f>
        <v>0.8935010000000001</v>
      </c>
      <c r="G124" s="31">
        <f>C124*'Model Inputs'!$B$21</f>
        <v>1.404073E-3</v>
      </c>
    </row>
    <row r="125" spans="1:7">
      <c r="A125" s="8" t="s">
        <v>35</v>
      </c>
      <c r="B125" s="4" t="s">
        <v>27</v>
      </c>
      <c r="C125" s="12">
        <v>15.667299999999999</v>
      </c>
      <c r="D125" s="28">
        <v>0.35811111099999998</v>
      </c>
      <c r="E125" s="19">
        <f t="shared" si="1"/>
        <v>15.667299999999999</v>
      </c>
      <c r="F125" s="19">
        <f>C125*'Model Inputs'!$B$20</f>
        <v>1.096711</v>
      </c>
      <c r="G125" s="31">
        <f>C125*'Model Inputs'!$B$21</f>
        <v>1.7234029999999999E-3</v>
      </c>
    </row>
    <row r="126" spans="1:7">
      <c r="A126" s="8" t="s">
        <v>35</v>
      </c>
      <c r="B126" s="4" t="s">
        <v>31</v>
      </c>
      <c r="C126" s="12">
        <v>21.559000000000001</v>
      </c>
      <c r="D126" s="28">
        <v>0.40191666700000001</v>
      </c>
      <c r="E126" s="19">
        <f t="shared" si="1"/>
        <v>21.559000000000001</v>
      </c>
      <c r="F126" s="19">
        <f>C126*'Model Inputs'!$B$20</f>
        <v>1.5091300000000003</v>
      </c>
      <c r="G126" s="31">
        <f>C126*'Model Inputs'!$B$21</f>
        <v>2.3714900000000004E-3</v>
      </c>
    </row>
    <row r="127" spans="1:7">
      <c r="A127" s="8" t="s">
        <v>35</v>
      </c>
      <c r="B127" s="4" t="s">
        <v>38</v>
      </c>
      <c r="C127" s="12">
        <v>46.116300000000003</v>
      </c>
      <c r="D127" s="28">
        <v>0.65105555599999998</v>
      </c>
      <c r="E127" s="19">
        <f t="shared" si="1"/>
        <v>46.116300000000003</v>
      </c>
      <c r="F127" s="19">
        <f>C127*'Model Inputs'!$B$20</f>
        <v>3.2281410000000004</v>
      </c>
      <c r="G127" s="31">
        <f>C127*'Model Inputs'!$B$21</f>
        <v>5.0727930000000008E-3</v>
      </c>
    </row>
    <row r="128" spans="1:7">
      <c r="A128" s="8" t="s">
        <v>35</v>
      </c>
      <c r="B128" s="4" t="s">
        <v>42</v>
      </c>
      <c r="C128" s="12">
        <v>7.2081</v>
      </c>
      <c r="D128" s="28">
        <v>0.18280555600000001</v>
      </c>
      <c r="E128" s="19">
        <f t="shared" si="1"/>
        <v>7.2081</v>
      </c>
      <c r="F128" s="19">
        <f>C128*'Model Inputs'!$B$20</f>
        <v>0.5045670000000001</v>
      </c>
      <c r="G128" s="31">
        <f>C128*'Model Inputs'!$B$21</f>
        <v>7.92891E-4</v>
      </c>
    </row>
    <row r="129" spans="1:7">
      <c r="A129" s="8" t="s">
        <v>35</v>
      </c>
      <c r="B129" s="4" t="s">
        <v>46</v>
      </c>
      <c r="C129" s="12">
        <v>9.9266000000000005</v>
      </c>
      <c r="D129" s="28">
        <v>0.26166666700000002</v>
      </c>
      <c r="E129" s="19">
        <f t="shared" si="1"/>
        <v>9.9266000000000005</v>
      </c>
      <c r="F129" s="19">
        <f>C129*'Model Inputs'!$B$20</f>
        <v>0.69486200000000009</v>
      </c>
      <c r="G129" s="31">
        <f>C129*'Model Inputs'!$B$21</f>
        <v>1.091926E-3</v>
      </c>
    </row>
    <row r="130" spans="1:7">
      <c r="A130" s="8" t="s">
        <v>35</v>
      </c>
      <c r="B130" s="4" t="s">
        <v>49</v>
      </c>
      <c r="C130" s="12">
        <v>41.482500000000002</v>
      </c>
      <c r="D130" s="28">
        <v>0.62641666699999998</v>
      </c>
      <c r="E130" s="19">
        <f t="shared" ref="E130:E193" si="2">C130</f>
        <v>41.482500000000002</v>
      </c>
      <c r="F130" s="19">
        <f>C130*'Model Inputs'!$B$20</f>
        <v>2.9037750000000004</v>
      </c>
      <c r="G130" s="31">
        <f>C130*'Model Inputs'!$B$21</f>
        <v>4.5630750000000006E-3</v>
      </c>
    </row>
    <row r="131" spans="1:7">
      <c r="A131" s="8" t="s">
        <v>35</v>
      </c>
      <c r="B131" s="4" t="s">
        <v>52</v>
      </c>
      <c r="C131" s="12">
        <v>28.471</v>
      </c>
      <c r="D131" s="28">
        <v>0.58077777799999997</v>
      </c>
      <c r="E131" s="19">
        <f t="shared" si="2"/>
        <v>28.471</v>
      </c>
      <c r="F131" s="19">
        <f>C131*'Model Inputs'!$B$20</f>
        <v>1.9929700000000001</v>
      </c>
      <c r="G131" s="31">
        <f>C131*'Model Inputs'!$B$21</f>
        <v>3.1318100000000001E-3</v>
      </c>
    </row>
    <row r="132" spans="1:7">
      <c r="A132" s="8" t="s">
        <v>35</v>
      </c>
      <c r="B132" s="4" t="s">
        <v>55</v>
      </c>
      <c r="C132" s="12">
        <v>27.4984</v>
      </c>
      <c r="D132" s="28">
        <v>0.48461111099999998</v>
      </c>
      <c r="E132" s="19">
        <f t="shared" si="2"/>
        <v>27.4984</v>
      </c>
      <c r="F132" s="19">
        <f>C132*'Model Inputs'!$B$20</f>
        <v>1.9248880000000002</v>
      </c>
      <c r="G132" s="31">
        <f>C132*'Model Inputs'!$B$21</f>
        <v>3.0248240000000002E-3</v>
      </c>
    </row>
    <row r="133" spans="1:7">
      <c r="A133" s="8" t="s">
        <v>35</v>
      </c>
      <c r="B133" s="4" t="s">
        <v>58</v>
      </c>
      <c r="C133" s="12">
        <v>31.247499999999999</v>
      </c>
      <c r="D133" s="28">
        <v>0.60783333299999998</v>
      </c>
      <c r="E133" s="19">
        <f t="shared" si="2"/>
        <v>31.247499999999999</v>
      </c>
      <c r="F133" s="19">
        <f>C133*'Model Inputs'!$B$20</f>
        <v>2.187325</v>
      </c>
      <c r="G133" s="31">
        <f>C133*'Model Inputs'!$B$21</f>
        <v>3.4372249999999999E-3</v>
      </c>
    </row>
    <row r="134" spans="1:7">
      <c r="A134" s="8" t="s">
        <v>35</v>
      </c>
      <c r="B134" s="4" t="s">
        <v>61</v>
      </c>
      <c r="C134" s="12">
        <v>10.1828</v>
      </c>
      <c r="D134" s="28">
        <v>0.26019444400000002</v>
      </c>
      <c r="E134" s="19">
        <f t="shared" si="2"/>
        <v>10.1828</v>
      </c>
      <c r="F134" s="19">
        <f>C134*'Model Inputs'!$B$20</f>
        <v>0.7127960000000001</v>
      </c>
      <c r="G134" s="31">
        <f>C134*'Model Inputs'!$B$21</f>
        <v>1.1201080000000001E-3</v>
      </c>
    </row>
    <row r="135" spans="1:7">
      <c r="A135" s="8" t="s">
        <v>35</v>
      </c>
      <c r="B135" s="4" t="s">
        <v>64</v>
      </c>
      <c r="C135" s="12">
        <v>31.288399999999999</v>
      </c>
      <c r="D135" s="28">
        <v>0.45158333299999998</v>
      </c>
      <c r="E135" s="19">
        <f t="shared" si="2"/>
        <v>31.288399999999999</v>
      </c>
      <c r="F135" s="19">
        <f>C135*'Model Inputs'!$B$20</f>
        <v>2.190188</v>
      </c>
      <c r="G135" s="31">
        <f>C135*'Model Inputs'!$B$21</f>
        <v>3.4417240000000002E-3</v>
      </c>
    </row>
    <row r="136" spans="1:7">
      <c r="A136" s="8" t="s">
        <v>35</v>
      </c>
      <c r="B136" s="4" t="s">
        <v>67</v>
      </c>
      <c r="C136" s="12">
        <v>22.533300000000001</v>
      </c>
      <c r="D136" s="28">
        <v>0.36408333300000001</v>
      </c>
      <c r="E136" s="19">
        <f t="shared" si="2"/>
        <v>22.533300000000001</v>
      </c>
      <c r="F136" s="19">
        <f>C136*'Model Inputs'!$B$20</f>
        <v>1.5773310000000003</v>
      </c>
      <c r="G136" s="31">
        <f>C136*'Model Inputs'!$B$21</f>
        <v>2.4786630000000003E-3</v>
      </c>
    </row>
    <row r="137" spans="1:7">
      <c r="A137" s="8" t="s">
        <v>35</v>
      </c>
      <c r="B137" s="4" t="s">
        <v>70</v>
      </c>
      <c r="C137" s="12">
        <v>46.654800000000002</v>
      </c>
      <c r="D137" s="28">
        <v>0.73813888900000002</v>
      </c>
      <c r="E137" s="19">
        <f t="shared" si="2"/>
        <v>46.654800000000002</v>
      </c>
      <c r="F137" s="19">
        <f>C137*'Model Inputs'!$B$20</f>
        <v>3.2658360000000006</v>
      </c>
      <c r="G137" s="31">
        <f>C137*'Model Inputs'!$B$21</f>
        <v>5.1320280000000003E-3</v>
      </c>
    </row>
    <row r="138" spans="1:7">
      <c r="A138" s="8" t="s">
        <v>35</v>
      </c>
      <c r="B138" s="4" t="s">
        <v>73</v>
      </c>
      <c r="C138" s="12">
        <v>30.979800000000001</v>
      </c>
      <c r="D138" s="28">
        <v>0.53725000000000001</v>
      </c>
      <c r="E138" s="19">
        <f t="shared" si="2"/>
        <v>30.979800000000001</v>
      </c>
      <c r="F138" s="19">
        <f>C138*'Model Inputs'!$B$20</f>
        <v>2.1685860000000003</v>
      </c>
      <c r="G138" s="31">
        <f>C138*'Model Inputs'!$B$21</f>
        <v>3.4077780000000002E-3</v>
      </c>
    </row>
    <row r="139" spans="1:7">
      <c r="A139" s="8" t="s">
        <v>35</v>
      </c>
      <c r="B139" s="4" t="s">
        <v>76</v>
      </c>
      <c r="C139" s="12">
        <v>13.2415</v>
      </c>
      <c r="D139" s="28">
        <v>0.22044444399999999</v>
      </c>
      <c r="E139" s="19">
        <f t="shared" si="2"/>
        <v>13.2415</v>
      </c>
      <c r="F139" s="19">
        <f>C139*'Model Inputs'!$B$20</f>
        <v>0.92690500000000009</v>
      </c>
      <c r="G139" s="31">
        <f>C139*'Model Inputs'!$B$21</f>
        <v>1.4565650000000002E-3</v>
      </c>
    </row>
    <row r="140" spans="1:7">
      <c r="A140" s="8" t="s">
        <v>35</v>
      </c>
      <c r="B140" s="4" t="s">
        <v>79</v>
      </c>
      <c r="C140" s="12">
        <v>18.406600000000001</v>
      </c>
      <c r="D140" s="28">
        <v>0.40369444399999999</v>
      </c>
      <c r="E140" s="19">
        <f t="shared" si="2"/>
        <v>18.406600000000001</v>
      </c>
      <c r="F140" s="19">
        <f>C140*'Model Inputs'!$B$20</f>
        <v>1.2884620000000002</v>
      </c>
      <c r="G140" s="31">
        <f>C140*'Model Inputs'!$B$21</f>
        <v>2.0247260000000001E-3</v>
      </c>
    </row>
    <row r="141" spans="1:7">
      <c r="A141" s="8" t="s">
        <v>35</v>
      </c>
      <c r="B141" s="4" t="s">
        <v>82</v>
      </c>
      <c r="C141" s="12">
        <v>11.212899999999999</v>
      </c>
      <c r="D141" s="28">
        <v>0.21019444400000001</v>
      </c>
      <c r="E141" s="19">
        <f t="shared" si="2"/>
        <v>11.212899999999999</v>
      </c>
      <c r="F141" s="19">
        <f>C141*'Model Inputs'!$B$20</f>
        <v>0.78490300000000002</v>
      </c>
      <c r="G141" s="31">
        <f>C141*'Model Inputs'!$B$21</f>
        <v>1.2334189999999999E-3</v>
      </c>
    </row>
    <row r="142" spans="1:7">
      <c r="A142" s="8" t="s">
        <v>35</v>
      </c>
      <c r="B142" s="4" t="s">
        <v>85</v>
      </c>
      <c r="C142" s="12">
        <v>15.072100000000001</v>
      </c>
      <c r="D142" s="28">
        <v>0.29152777800000002</v>
      </c>
      <c r="E142" s="19">
        <f t="shared" si="2"/>
        <v>15.072100000000001</v>
      </c>
      <c r="F142" s="19">
        <f>C142*'Model Inputs'!$B$20</f>
        <v>1.0550470000000001</v>
      </c>
      <c r="G142" s="31">
        <f>C142*'Model Inputs'!$B$21</f>
        <v>1.6579310000000001E-3</v>
      </c>
    </row>
    <row r="143" spans="1:7">
      <c r="A143" s="8" t="s">
        <v>35</v>
      </c>
      <c r="B143" s="4" t="s">
        <v>89</v>
      </c>
      <c r="C143" s="12">
        <v>22.637499999999999</v>
      </c>
      <c r="D143" s="28">
        <v>0.49230555599999998</v>
      </c>
      <c r="E143" s="19">
        <f t="shared" si="2"/>
        <v>22.637499999999999</v>
      </c>
      <c r="F143" s="19">
        <f>C143*'Model Inputs'!$B$20</f>
        <v>1.5846250000000002</v>
      </c>
      <c r="G143" s="31">
        <f>C143*'Model Inputs'!$B$21</f>
        <v>2.4901250000000002E-3</v>
      </c>
    </row>
    <row r="144" spans="1:7">
      <c r="A144" s="8" t="s">
        <v>35</v>
      </c>
      <c r="B144" s="4" t="s">
        <v>92</v>
      </c>
      <c r="C144" s="12">
        <v>11.686400000000001</v>
      </c>
      <c r="D144" s="28">
        <v>0.24583333299999999</v>
      </c>
      <c r="E144" s="19">
        <f t="shared" si="2"/>
        <v>11.686400000000001</v>
      </c>
      <c r="F144" s="19">
        <f>C144*'Model Inputs'!$B$20</f>
        <v>0.81804800000000011</v>
      </c>
      <c r="G144" s="31">
        <f>C144*'Model Inputs'!$B$21</f>
        <v>1.285504E-3</v>
      </c>
    </row>
    <row r="145" spans="1:7">
      <c r="A145" s="8" t="s">
        <v>35</v>
      </c>
      <c r="B145" s="4" t="s">
        <v>95</v>
      </c>
      <c r="C145" s="12">
        <v>28.836600000000001</v>
      </c>
      <c r="D145" s="28">
        <v>0.57177777799999996</v>
      </c>
      <c r="E145" s="19">
        <f t="shared" si="2"/>
        <v>28.836600000000001</v>
      </c>
      <c r="F145" s="19">
        <f>C145*'Model Inputs'!$B$20</f>
        <v>2.0185620000000002</v>
      </c>
      <c r="G145" s="31">
        <f>C145*'Model Inputs'!$B$21</f>
        <v>3.1720260000000001E-3</v>
      </c>
    </row>
    <row r="146" spans="1:7">
      <c r="A146" s="8" t="s">
        <v>38</v>
      </c>
      <c r="B146" s="4" t="s">
        <v>2</v>
      </c>
      <c r="C146" s="12">
        <v>34.405000000000001</v>
      </c>
      <c r="D146" s="28">
        <v>0.62563888899999998</v>
      </c>
      <c r="E146" s="19">
        <f t="shared" si="2"/>
        <v>34.405000000000001</v>
      </c>
      <c r="F146" s="19">
        <f>C146*'Model Inputs'!$B$20</f>
        <v>2.4083500000000004</v>
      </c>
      <c r="G146" s="31">
        <f>C146*'Model Inputs'!$B$21</f>
        <v>3.7845500000000002E-3</v>
      </c>
    </row>
    <row r="147" spans="1:7">
      <c r="A147" s="8" t="s">
        <v>38</v>
      </c>
      <c r="B147" s="4" t="s">
        <v>18</v>
      </c>
      <c r="C147" s="12">
        <v>39.571599999999997</v>
      </c>
      <c r="D147" s="28">
        <v>0.73899999999999999</v>
      </c>
      <c r="E147" s="19">
        <f t="shared" si="2"/>
        <v>39.571599999999997</v>
      </c>
      <c r="F147" s="19">
        <f>C147*'Model Inputs'!$B$20</f>
        <v>2.7700119999999999</v>
      </c>
      <c r="G147" s="31">
        <f>C147*'Model Inputs'!$B$21</f>
        <v>4.3528759999999994E-3</v>
      </c>
    </row>
    <row r="148" spans="1:7">
      <c r="A148" s="8" t="s">
        <v>38</v>
      </c>
      <c r="B148" s="4" t="s">
        <v>23</v>
      </c>
      <c r="C148" s="12">
        <v>35.545299999999997</v>
      </c>
      <c r="D148" s="28">
        <v>0.64066666699999997</v>
      </c>
      <c r="E148" s="19">
        <f t="shared" si="2"/>
        <v>35.545299999999997</v>
      </c>
      <c r="F148" s="19">
        <f>C148*'Model Inputs'!$B$20</f>
        <v>2.4881709999999999</v>
      </c>
      <c r="G148" s="31">
        <f>C148*'Model Inputs'!$B$21</f>
        <v>3.9099829999999997E-3</v>
      </c>
    </row>
    <row r="149" spans="1:7">
      <c r="A149" s="8" t="s">
        <v>38</v>
      </c>
      <c r="B149" s="4" t="s">
        <v>27</v>
      </c>
      <c r="C149" s="12">
        <v>27.779399999999999</v>
      </c>
      <c r="D149" s="28">
        <v>0.52027777799999997</v>
      </c>
      <c r="E149" s="19">
        <f t="shared" si="2"/>
        <v>27.779399999999999</v>
      </c>
      <c r="F149" s="19">
        <f>C149*'Model Inputs'!$B$20</f>
        <v>1.944558</v>
      </c>
      <c r="G149" s="31">
        <f>C149*'Model Inputs'!$B$21</f>
        <v>3.0557340000000001E-3</v>
      </c>
    </row>
    <row r="150" spans="1:7">
      <c r="A150" s="8" t="s">
        <v>38</v>
      </c>
      <c r="B150" s="4" t="s">
        <v>31</v>
      </c>
      <c r="C150" s="12">
        <v>22.517700000000001</v>
      </c>
      <c r="D150" s="28">
        <v>0.40086111099999999</v>
      </c>
      <c r="E150" s="19">
        <f t="shared" si="2"/>
        <v>22.517700000000001</v>
      </c>
      <c r="F150" s="19">
        <f>C150*'Model Inputs'!$B$20</f>
        <v>1.5762390000000002</v>
      </c>
      <c r="G150" s="31">
        <f>C150*'Model Inputs'!$B$21</f>
        <v>2.4769470000000002E-3</v>
      </c>
    </row>
    <row r="151" spans="1:7">
      <c r="A151" s="8" t="s">
        <v>38</v>
      </c>
      <c r="B151" s="4" t="s">
        <v>35</v>
      </c>
      <c r="C151" s="12">
        <v>36.688600000000001</v>
      </c>
      <c r="D151" s="28">
        <v>0.68325000000000002</v>
      </c>
      <c r="E151" s="19">
        <f t="shared" si="2"/>
        <v>36.688600000000001</v>
      </c>
      <c r="F151" s="19">
        <f>C151*'Model Inputs'!$B$20</f>
        <v>2.5682020000000003</v>
      </c>
      <c r="G151" s="31">
        <f>C151*'Model Inputs'!$B$21</f>
        <v>4.0357460000000006E-3</v>
      </c>
    </row>
    <row r="152" spans="1:7">
      <c r="A152" s="8" t="s">
        <v>38</v>
      </c>
      <c r="B152" s="4" t="s">
        <v>42</v>
      </c>
      <c r="C152" s="12">
        <v>36.900500000000001</v>
      </c>
      <c r="D152" s="28">
        <v>0.65991666699999996</v>
      </c>
      <c r="E152" s="19">
        <f t="shared" si="2"/>
        <v>36.900500000000001</v>
      </c>
      <c r="F152" s="19">
        <f>C152*'Model Inputs'!$B$20</f>
        <v>2.5830350000000002</v>
      </c>
      <c r="G152" s="31">
        <f>C152*'Model Inputs'!$B$21</f>
        <v>4.0590550000000006E-3</v>
      </c>
    </row>
    <row r="153" spans="1:7">
      <c r="A153" s="8" t="s">
        <v>38</v>
      </c>
      <c r="B153" s="4" t="s">
        <v>46</v>
      </c>
      <c r="C153" s="12">
        <v>27.947099999999999</v>
      </c>
      <c r="D153" s="28">
        <v>0.49394444399999998</v>
      </c>
      <c r="E153" s="19">
        <f t="shared" si="2"/>
        <v>27.947099999999999</v>
      </c>
      <c r="F153" s="19">
        <f>C153*'Model Inputs'!$B$20</f>
        <v>1.9562970000000002</v>
      </c>
      <c r="G153" s="31">
        <f>C153*'Model Inputs'!$B$21</f>
        <v>3.074181E-3</v>
      </c>
    </row>
    <row r="154" spans="1:7">
      <c r="A154" s="8" t="s">
        <v>38</v>
      </c>
      <c r="B154" s="4" t="s">
        <v>49</v>
      </c>
      <c r="C154" s="12">
        <v>7.5795000000000003</v>
      </c>
      <c r="D154" s="28">
        <v>0.20611111100000001</v>
      </c>
      <c r="E154" s="19">
        <f t="shared" si="2"/>
        <v>7.5795000000000003</v>
      </c>
      <c r="F154" s="19">
        <f>C154*'Model Inputs'!$B$20</f>
        <v>0.53056500000000006</v>
      </c>
      <c r="G154" s="31">
        <f>C154*'Model Inputs'!$B$21</f>
        <v>8.337450000000001E-4</v>
      </c>
    </row>
    <row r="155" spans="1:7">
      <c r="A155" s="8" t="s">
        <v>38</v>
      </c>
      <c r="B155" s="4" t="s">
        <v>52</v>
      </c>
      <c r="C155" s="12">
        <v>42.287199999999999</v>
      </c>
      <c r="D155" s="28">
        <v>0.79074999999999995</v>
      </c>
      <c r="E155" s="19">
        <f t="shared" si="2"/>
        <v>42.287199999999999</v>
      </c>
      <c r="F155" s="19">
        <f>C155*'Model Inputs'!$B$20</f>
        <v>2.9601040000000003</v>
      </c>
      <c r="G155" s="31">
        <f>C155*'Model Inputs'!$B$21</f>
        <v>4.6515920000000004E-3</v>
      </c>
    </row>
    <row r="156" spans="1:7">
      <c r="A156" s="8" t="s">
        <v>38</v>
      </c>
      <c r="B156" s="4" t="s">
        <v>55</v>
      </c>
      <c r="C156" s="12">
        <v>33.594499999999996</v>
      </c>
      <c r="D156" s="28">
        <v>0.57752777799999999</v>
      </c>
      <c r="E156" s="19">
        <f t="shared" si="2"/>
        <v>33.594499999999996</v>
      </c>
      <c r="F156" s="19">
        <f>C156*'Model Inputs'!$B$20</f>
        <v>2.3516149999999998</v>
      </c>
      <c r="G156" s="31">
        <f>C156*'Model Inputs'!$B$21</f>
        <v>3.6953949999999998E-3</v>
      </c>
    </row>
    <row r="157" spans="1:7">
      <c r="A157" s="8" t="s">
        <v>38</v>
      </c>
      <c r="B157" s="4" t="s">
        <v>58</v>
      </c>
      <c r="C157" s="12">
        <v>48.676499999999997</v>
      </c>
      <c r="D157" s="28">
        <v>0.75675000000000003</v>
      </c>
      <c r="E157" s="19">
        <f t="shared" si="2"/>
        <v>48.676499999999997</v>
      </c>
      <c r="F157" s="19">
        <f>C157*'Model Inputs'!$B$20</f>
        <v>3.4073549999999999</v>
      </c>
      <c r="G157" s="31">
        <f>C157*'Model Inputs'!$B$21</f>
        <v>5.3544149999999995E-3</v>
      </c>
    </row>
    <row r="158" spans="1:7">
      <c r="A158" s="8" t="s">
        <v>38</v>
      </c>
      <c r="B158" s="4" t="s">
        <v>61</v>
      </c>
      <c r="C158" s="12">
        <v>29.2742</v>
      </c>
      <c r="D158" s="28">
        <v>0.51097222200000003</v>
      </c>
      <c r="E158" s="19">
        <f t="shared" si="2"/>
        <v>29.2742</v>
      </c>
      <c r="F158" s="19">
        <f>C158*'Model Inputs'!$B$20</f>
        <v>2.0491940000000004</v>
      </c>
      <c r="G158" s="31">
        <f>C158*'Model Inputs'!$B$21</f>
        <v>3.2201620000000004E-3</v>
      </c>
    </row>
    <row r="159" spans="1:7">
      <c r="A159" s="8" t="s">
        <v>38</v>
      </c>
      <c r="B159" s="4" t="s">
        <v>64</v>
      </c>
      <c r="C159" s="12">
        <v>15.620100000000001</v>
      </c>
      <c r="D159" s="28">
        <v>0.28619444399999999</v>
      </c>
      <c r="E159" s="19">
        <f t="shared" si="2"/>
        <v>15.620100000000001</v>
      </c>
      <c r="F159" s="19">
        <f>C159*'Model Inputs'!$B$20</f>
        <v>1.0934070000000002</v>
      </c>
      <c r="G159" s="31">
        <f>C159*'Model Inputs'!$B$21</f>
        <v>1.7182110000000001E-3</v>
      </c>
    </row>
    <row r="160" spans="1:7">
      <c r="A160" s="8" t="s">
        <v>38</v>
      </c>
      <c r="B160" s="4" t="s">
        <v>67</v>
      </c>
      <c r="C160" s="12">
        <v>48.536900000000003</v>
      </c>
      <c r="D160" s="28">
        <v>0.83408333300000004</v>
      </c>
      <c r="E160" s="19">
        <f t="shared" si="2"/>
        <v>48.536900000000003</v>
      </c>
      <c r="F160" s="19">
        <f>C160*'Model Inputs'!$B$20</f>
        <v>3.3975830000000005</v>
      </c>
      <c r="G160" s="31">
        <f>C160*'Model Inputs'!$B$21</f>
        <v>5.3390590000000002E-3</v>
      </c>
    </row>
    <row r="161" spans="1:7">
      <c r="A161" s="8" t="s">
        <v>38</v>
      </c>
      <c r="B161" s="4" t="s">
        <v>70</v>
      </c>
      <c r="C161" s="12">
        <v>45.309399999999997</v>
      </c>
      <c r="D161" s="28">
        <v>0.83716666699999998</v>
      </c>
      <c r="E161" s="19">
        <f t="shared" si="2"/>
        <v>45.309399999999997</v>
      </c>
      <c r="F161" s="19">
        <f>C161*'Model Inputs'!$B$20</f>
        <v>3.1716579999999999</v>
      </c>
      <c r="G161" s="31">
        <f>C161*'Model Inputs'!$B$21</f>
        <v>4.984034E-3</v>
      </c>
    </row>
    <row r="162" spans="1:7">
      <c r="A162" s="8" t="s">
        <v>38</v>
      </c>
      <c r="B162" s="4" t="s">
        <v>73</v>
      </c>
      <c r="C162" s="12">
        <v>56.468499999999999</v>
      </c>
      <c r="D162" s="28">
        <v>0.960527778</v>
      </c>
      <c r="E162" s="19">
        <f t="shared" si="2"/>
        <v>56.468499999999999</v>
      </c>
      <c r="F162" s="19">
        <f>C162*'Model Inputs'!$B$20</f>
        <v>3.9527950000000005</v>
      </c>
      <c r="G162" s="31">
        <f>C162*'Model Inputs'!$B$21</f>
        <v>6.2115349999999998E-3</v>
      </c>
    </row>
    <row r="163" spans="1:7">
      <c r="A163" s="8" t="s">
        <v>38</v>
      </c>
      <c r="B163" s="4" t="s">
        <v>76</v>
      </c>
      <c r="C163" s="12">
        <v>46.371899999999997</v>
      </c>
      <c r="D163" s="28">
        <v>0.77911111099999997</v>
      </c>
      <c r="E163" s="19">
        <f t="shared" si="2"/>
        <v>46.371899999999997</v>
      </c>
      <c r="F163" s="19">
        <f>C163*'Model Inputs'!$B$20</f>
        <v>3.2460330000000002</v>
      </c>
      <c r="G163" s="31">
        <f>C163*'Model Inputs'!$B$21</f>
        <v>5.1009089999999998E-3</v>
      </c>
    </row>
    <row r="164" spans="1:7">
      <c r="A164" s="8" t="s">
        <v>38</v>
      </c>
      <c r="B164" s="4" t="s">
        <v>79</v>
      </c>
      <c r="C164" s="12">
        <v>44.410200000000003</v>
      </c>
      <c r="D164" s="28">
        <v>0.87369444399999996</v>
      </c>
      <c r="E164" s="19">
        <f t="shared" si="2"/>
        <v>44.410200000000003</v>
      </c>
      <c r="F164" s="19">
        <f>C164*'Model Inputs'!$B$20</f>
        <v>3.1087140000000004</v>
      </c>
      <c r="G164" s="31">
        <f>C164*'Model Inputs'!$B$21</f>
        <v>4.8851220000000004E-3</v>
      </c>
    </row>
    <row r="165" spans="1:7">
      <c r="A165" s="8" t="s">
        <v>38</v>
      </c>
      <c r="B165" s="4" t="s">
        <v>82</v>
      </c>
      <c r="C165" s="12">
        <v>46.667999999999999</v>
      </c>
      <c r="D165" s="28">
        <v>0.76075000000000004</v>
      </c>
      <c r="E165" s="19">
        <f t="shared" si="2"/>
        <v>46.667999999999999</v>
      </c>
      <c r="F165" s="19">
        <f>C165*'Model Inputs'!$B$20</f>
        <v>3.2667600000000001</v>
      </c>
      <c r="G165" s="31">
        <f>C165*'Model Inputs'!$B$21</f>
        <v>5.1334800000000002E-3</v>
      </c>
    </row>
    <row r="166" spans="1:7">
      <c r="A166" s="8" t="s">
        <v>38</v>
      </c>
      <c r="B166" s="4" t="s">
        <v>85</v>
      </c>
      <c r="C166" s="12">
        <v>24.599699999999999</v>
      </c>
      <c r="D166" s="28">
        <v>0.435777778</v>
      </c>
      <c r="E166" s="19">
        <f t="shared" si="2"/>
        <v>24.599699999999999</v>
      </c>
      <c r="F166" s="19">
        <f>C166*'Model Inputs'!$B$20</f>
        <v>1.7219790000000001</v>
      </c>
      <c r="G166" s="31">
        <f>C166*'Model Inputs'!$B$21</f>
        <v>2.7059670000000001E-3</v>
      </c>
    </row>
    <row r="167" spans="1:7">
      <c r="A167" s="8" t="s">
        <v>38</v>
      </c>
      <c r="B167" s="4" t="s">
        <v>89</v>
      </c>
      <c r="C167" s="12">
        <v>40.001600000000003</v>
      </c>
      <c r="D167" s="28">
        <v>0.75075000000000003</v>
      </c>
      <c r="E167" s="19">
        <f t="shared" si="2"/>
        <v>40.001600000000003</v>
      </c>
      <c r="F167" s="19">
        <f>C167*'Model Inputs'!$B$20</f>
        <v>2.8001120000000004</v>
      </c>
      <c r="G167" s="31">
        <f>C167*'Model Inputs'!$B$21</f>
        <v>4.4001760000000004E-3</v>
      </c>
    </row>
    <row r="168" spans="1:7">
      <c r="A168" s="8" t="s">
        <v>38</v>
      </c>
      <c r="B168" s="4" t="s">
        <v>92</v>
      </c>
      <c r="C168" s="12">
        <v>34.467399999999998</v>
      </c>
      <c r="D168" s="28">
        <v>0.62472222200000005</v>
      </c>
      <c r="E168" s="19">
        <f t="shared" si="2"/>
        <v>34.467399999999998</v>
      </c>
      <c r="F168" s="19">
        <f>C168*'Model Inputs'!$B$20</f>
        <v>2.4127179999999999</v>
      </c>
      <c r="G168" s="31">
        <f>C168*'Model Inputs'!$B$21</f>
        <v>3.7914139999999999E-3</v>
      </c>
    </row>
    <row r="169" spans="1:7">
      <c r="A169" s="8" t="s">
        <v>38</v>
      </c>
      <c r="B169" s="4" t="s">
        <v>95</v>
      </c>
      <c r="C169" s="12">
        <v>46.677900000000001</v>
      </c>
      <c r="D169" s="28">
        <v>0.72422222199999997</v>
      </c>
      <c r="E169" s="19">
        <f t="shared" si="2"/>
        <v>46.677900000000001</v>
      </c>
      <c r="F169" s="19">
        <f>C169*'Model Inputs'!$B$20</f>
        <v>3.2674530000000006</v>
      </c>
      <c r="G169" s="31">
        <f>C169*'Model Inputs'!$B$21</f>
        <v>5.1345690000000003E-3</v>
      </c>
    </row>
    <row r="170" spans="1:7">
      <c r="A170" s="8" t="s">
        <v>42</v>
      </c>
      <c r="B170" s="4" t="s">
        <v>2</v>
      </c>
      <c r="C170" s="12">
        <v>21.7925</v>
      </c>
      <c r="D170" s="28">
        <v>0.464138889</v>
      </c>
      <c r="E170" s="19">
        <f t="shared" si="2"/>
        <v>21.7925</v>
      </c>
      <c r="F170" s="19">
        <f>C170*'Model Inputs'!$B$20</f>
        <v>1.5254750000000001</v>
      </c>
      <c r="G170" s="31">
        <f>C170*'Model Inputs'!$B$21</f>
        <v>2.3971750000000001E-3</v>
      </c>
    </row>
    <row r="171" spans="1:7">
      <c r="A171" s="8" t="s">
        <v>42</v>
      </c>
      <c r="B171" s="4" t="s">
        <v>18</v>
      </c>
      <c r="C171" s="12">
        <v>21.651</v>
      </c>
      <c r="D171" s="28">
        <v>0.47175</v>
      </c>
      <c r="E171" s="19">
        <f t="shared" si="2"/>
        <v>21.651</v>
      </c>
      <c r="F171" s="19">
        <f>C171*'Model Inputs'!$B$20</f>
        <v>1.5155700000000001</v>
      </c>
      <c r="G171" s="31">
        <f>C171*'Model Inputs'!$B$21</f>
        <v>2.3816100000000002E-3</v>
      </c>
    </row>
    <row r="172" spans="1:7">
      <c r="A172" s="8" t="s">
        <v>42</v>
      </c>
      <c r="B172" s="4" t="s">
        <v>23</v>
      </c>
      <c r="C172" s="12">
        <v>17.624600000000001</v>
      </c>
      <c r="D172" s="28">
        <v>0.37341666699999998</v>
      </c>
      <c r="E172" s="19">
        <f t="shared" si="2"/>
        <v>17.624600000000001</v>
      </c>
      <c r="F172" s="19">
        <f>C172*'Model Inputs'!$B$20</f>
        <v>1.2337220000000002</v>
      </c>
      <c r="G172" s="31">
        <f>C172*'Model Inputs'!$B$21</f>
        <v>1.9387060000000001E-3</v>
      </c>
    </row>
    <row r="173" spans="1:7">
      <c r="A173" s="8" t="s">
        <v>42</v>
      </c>
      <c r="B173" s="4" t="s">
        <v>27</v>
      </c>
      <c r="C173" s="12">
        <v>16.720700000000001</v>
      </c>
      <c r="D173" s="28">
        <v>0.37683333299999999</v>
      </c>
      <c r="E173" s="19">
        <f t="shared" si="2"/>
        <v>16.720700000000001</v>
      </c>
      <c r="F173" s="19">
        <f>C173*'Model Inputs'!$B$20</f>
        <v>1.1704490000000001</v>
      </c>
      <c r="G173" s="31">
        <f>C173*'Model Inputs'!$B$21</f>
        <v>1.8392770000000001E-3</v>
      </c>
    </row>
    <row r="174" spans="1:7">
      <c r="A174" s="8" t="s">
        <v>42</v>
      </c>
      <c r="B174" s="4" t="s">
        <v>31</v>
      </c>
      <c r="C174" s="12">
        <v>21.201000000000001</v>
      </c>
      <c r="D174" s="28">
        <v>0.344138889</v>
      </c>
      <c r="E174" s="19">
        <f t="shared" si="2"/>
        <v>21.201000000000001</v>
      </c>
      <c r="F174" s="19">
        <f>C174*'Model Inputs'!$B$20</f>
        <v>1.4840700000000002</v>
      </c>
      <c r="G174" s="31">
        <f>C174*'Model Inputs'!$B$21</f>
        <v>2.3321100000000001E-3</v>
      </c>
    </row>
    <row r="175" spans="1:7">
      <c r="A175" s="8" t="s">
        <v>42</v>
      </c>
      <c r="B175" s="4" t="s">
        <v>35</v>
      </c>
      <c r="C175" s="12">
        <v>5.7390999999999996</v>
      </c>
      <c r="D175" s="28">
        <v>0.144805556</v>
      </c>
      <c r="E175" s="19">
        <f t="shared" si="2"/>
        <v>5.7390999999999996</v>
      </c>
      <c r="F175" s="19">
        <f>C175*'Model Inputs'!$B$20</f>
        <v>0.40173700000000001</v>
      </c>
      <c r="G175" s="31">
        <f>C175*'Model Inputs'!$B$21</f>
        <v>6.3130100000000002E-4</v>
      </c>
    </row>
    <row r="176" spans="1:7">
      <c r="A176" s="8" t="s">
        <v>42</v>
      </c>
      <c r="B176" s="4" t="s">
        <v>38</v>
      </c>
      <c r="C176" s="12">
        <v>40.638300000000001</v>
      </c>
      <c r="D176" s="28">
        <v>0.59169444400000004</v>
      </c>
      <c r="E176" s="19">
        <f t="shared" si="2"/>
        <v>40.638300000000001</v>
      </c>
      <c r="F176" s="19">
        <f>C176*'Model Inputs'!$B$20</f>
        <v>2.8446810000000005</v>
      </c>
      <c r="G176" s="31">
        <f>C176*'Model Inputs'!$B$21</f>
        <v>4.4702130000000007E-3</v>
      </c>
    </row>
    <row r="177" spans="1:7">
      <c r="A177" s="8" t="s">
        <v>42</v>
      </c>
      <c r="B177" s="4" t="s">
        <v>46</v>
      </c>
      <c r="C177" s="12">
        <v>9.1012000000000004</v>
      </c>
      <c r="D177" s="28">
        <v>0.20358333300000001</v>
      </c>
      <c r="E177" s="19">
        <f t="shared" si="2"/>
        <v>9.1012000000000004</v>
      </c>
      <c r="F177" s="19">
        <f>C177*'Model Inputs'!$B$20</f>
        <v>0.63708400000000009</v>
      </c>
      <c r="G177" s="31">
        <f>C177*'Model Inputs'!$B$21</f>
        <v>1.0011320000000001E-3</v>
      </c>
    </row>
    <row r="178" spans="1:7">
      <c r="A178" s="8" t="s">
        <v>42</v>
      </c>
      <c r="B178" s="4" t="s">
        <v>49</v>
      </c>
      <c r="C178" s="12">
        <v>36.0045</v>
      </c>
      <c r="D178" s="28">
        <v>0.56705555600000002</v>
      </c>
      <c r="E178" s="19">
        <f t="shared" si="2"/>
        <v>36.0045</v>
      </c>
      <c r="F178" s="19">
        <f>C178*'Model Inputs'!$B$20</f>
        <v>2.5203150000000001</v>
      </c>
      <c r="G178" s="31">
        <f>C178*'Model Inputs'!$B$21</f>
        <v>3.9604950000000005E-3</v>
      </c>
    </row>
    <row r="179" spans="1:7">
      <c r="A179" s="8" t="s">
        <v>42</v>
      </c>
      <c r="B179" s="4" t="s">
        <v>52</v>
      </c>
      <c r="C179" s="12">
        <v>32.7896</v>
      </c>
      <c r="D179" s="28">
        <v>0.65533333299999996</v>
      </c>
      <c r="E179" s="19">
        <f t="shared" si="2"/>
        <v>32.7896</v>
      </c>
      <c r="F179" s="19">
        <f>C179*'Model Inputs'!$B$20</f>
        <v>2.2952720000000002</v>
      </c>
      <c r="G179" s="31">
        <f>C179*'Model Inputs'!$B$21</f>
        <v>3.6068560000000003E-3</v>
      </c>
    </row>
    <row r="180" spans="1:7">
      <c r="A180" s="8" t="s">
        <v>42</v>
      </c>
      <c r="B180" s="4" t="s">
        <v>55</v>
      </c>
      <c r="C180" s="12">
        <v>24.097000000000001</v>
      </c>
      <c r="D180" s="28">
        <v>0.442111111</v>
      </c>
      <c r="E180" s="19">
        <f t="shared" si="2"/>
        <v>24.097000000000001</v>
      </c>
      <c r="F180" s="19">
        <f>C180*'Model Inputs'!$B$20</f>
        <v>1.6867900000000002</v>
      </c>
      <c r="G180" s="31">
        <f>C180*'Model Inputs'!$B$21</f>
        <v>2.6506700000000004E-3</v>
      </c>
    </row>
    <row r="181" spans="1:7">
      <c r="A181" s="8" t="s">
        <v>42</v>
      </c>
      <c r="B181" s="4" t="s">
        <v>58</v>
      </c>
      <c r="C181" s="12">
        <v>39.178899999999999</v>
      </c>
      <c r="D181" s="28">
        <v>0.62133333300000004</v>
      </c>
      <c r="E181" s="19">
        <f t="shared" si="2"/>
        <v>39.178899999999999</v>
      </c>
      <c r="F181" s="19">
        <f>C181*'Model Inputs'!$B$20</f>
        <v>2.7425230000000003</v>
      </c>
      <c r="G181" s="31">
        <f>C181*'Model Inputs'!$B$21</f>
        <v>4.3096790000000003E-3</v>
      </c>
    </row>
    <row r="182" spans="1:7">
      <c r="A182" s="8" t="s">
        <v>42</v>
      </c>
      <c r="B182" s="4" t="s">
        <v>61</v>
      </c>
      <c r="C182" s="12">
        <v>7.6894999999999998</v>
      </c>
      <c r="D182" s="28">
        <v>0.18344444400000001</v>
      </c>
      <c r="E182" s="19">
        <f t="shared" si="2"/>
        <v>7.6894999999999998</v>
      </c>
      <c r="F182" s="19">
        <f>C182*'Model Inputs'!$B$20</f>
        <v>0.53826499999999999</v>
      </c>
      <c r="G182" s="31">
        <f>C182*'Model Inputs'!$B$21</f>
        <v>8.4584500000000002E-4</v>
      </c>
    </row>
    <row r="183" spans="1:7">
      <c r="A183" s="8" t="s">
        <v>42</v>
      </c>
      <c r="B183" s="4" t="s">
        <v>64</v>
      </c>
      <c r="C183" s="12">
        <v>25.810400000000001</v>
      </c>
      <c r="D183" s="28">
        <v>0.39222222200000001</v>
      </c>
      <c r="E183" s="19">
        <f t="shared" si="2"/>
        <v>25.810400000000001</v>
      </c>
      <c r="F183" s="19">
        <f>C183*'Model Inputs'!$B$20</f>
        <v>1.8067280000000003</v>
      </c>
      <c r="G183" s="31">
        <f>C183*'Model Inputs'!$B$21</f>
        <v>2.839144E-3</v>
      </c>
    </row>
    <row r="184" spans="1:7">
      <c r="A184" s="8" t="s">
        <v>42</v>
      </c>
      <c r="B184" s="4" t="s">
        <v>67</v>
      </c>
      <c r="C184" s="12">
        <v>27.393699999999999</v>
      </c>
      <c r="D184" s="28">
        <v>0.47572222199999997</v>
      </c>
      <c r="E184" s="19">
        <f t="shared" si="2"/>
        <v>27.393699999999999</v>
      </c>
      <c r="F184" s="19">
        <f>C184*'Model Inputs'!$B$20</f>
        <v>1.917559</v>
      </c>
      <c r="G184" s="31">
        <f>C184*'Model Inputs'!$B$21</f>
        <v>3.0133069999999998E-3</v>
      </c>
    </row>
    <row r="185" spans="1:7">
      <c r="A185" s="8" t="s">
        <v>42</v>
      </c>
      <c r="B185" s="4" t="s">
        <v>70</v>
      </c>
      <c r="C185" s="12">
        <v>47.322899999999997</v>
      </c>
      <c r="D185" s="28">
        <v>0.83747222200000004</v>
      </c>
      <c r="E185" s="19">
        <f t="shared" si="2"/>
        <v>47.322899999999997</v>
      </c>
      <c r="F185" s="19">
        <f>C185*'Model Inputs'!$B$20</f>
        <v>3.3126030000000002</v>
      </c>
      <c r="G185" s="31">
        <f>C185*'Model Inputs'!$B$21</f>
        <v>5.2055189999999996E-3</v>
      </c>
    </row>
    <row r="186" spans="1:7">
      <c r="A186" s="8" t="s">
        <v>42</v>
      </c>
      <c r="B186" s="4" t="s">
        <v>73</v>
      </c>
      <c r="C186" s="12">
        <v>35.8401</v>
      </c>
      <c r="D186" s="28">
        <v>0.64888888899999997</v>
      </c>
      <c r="E186" s="19">
        <f t="shared" si="2"/>
        <v>35.8401</v>
      </c>
      <c r="F186" s="19">
        <f>C186*'Model Inputs'!$B$20</f>
        <v>2.508807</v>
      </c>
      <c r="G186" s="31">
        <f>C186*'Model Inputs'!$B$21</f>
        <v>3.9424109999999998E-3</v>
      </c>
    </row>
    <row r="187" spans="1:7">
      <c r="A187" s="8" t="s">
        <v>42</v>
      </c>
      <c r="B187" s="4" t="s">
        <v>76</v>
      </c>
      <c r="C187" s="12">
        <v>18.101800000000001</v>
      </c>
      <c r="D187" s="28">
        <v>0.33208333299999998</v>
      </c>
      <c r="E187" s="19">
        <f t="shared" si="2"/>
        <v>18.101800000000001</v>
      </c>
      <c r="F187" s="19">
        <f>C187*'Model Inputs'!$B$20</f>
        <v>1.2671260000000002</v>
      </c>
      <c r="G187" s="31">
        <f>C187*'Model Inputs'!$B$21</f>
        <v>1.991198E-3</v>
      </c>
    </row>
    <row r="188" spans="1:7">
      <c r="A188" s="8" t="s">
        <v>42</v>
      </c>
      <c r="B188" s="4" t="s">
        <v>79</v>
      </c>
      <c r="C188" s="12">
        <v>23.266999999999999</v>
      </c>
      <c r="D188" s="28">
        <v>0.51533333299999995</v>
      </c>
      <c r="E188" s="19">
        <f t="shared" si="2"/>
        <v>23.266999999999999</v>
      </c>
      <c r="F188" s="19">
        <f>C188*'Model Inputs'!$B$20</f>
        <v>1.6286900000000002</v>
      </c>
      <c r="G188" s="31">
        <f>C188*'Model Inputs'!$B$21</f>
        <v>2.55937E-3</v>
      </c>
    </row>
    <row r="189" spans="1:7">
      <c r="A189" s="8" t="s">
        <v>42</v>
      </c>
      <c r="B189" s="4" t="s">
        <v>82</v>
      </c>
      <c r="C189" s="12">
        <v>15.549799999999999</v>
      </c>
      <c r="D189" s="28">
        <v>0.25086111100000003</v>
      </c>
      <c r="E189" s="19">
        <f t="shared" si="2"/>
        <v>15.549799999999999</v>
      </c>
      <c r="F189" s="19">
        <f>C189*'Model Inputs'!$B$20</f>
        <v>1.0884860000000001</v>
      </c>
      <c r="G189" s="31">
        <f>C189*'Model Inputs'!$B$21</f>
        <v>1.7104780000000001E-3</v>
      </c>
    </row>
    <row r="190" spans="1:7">
      <c r="A190" s="8" t="s">
        <v>42</v>
      </c>
      <c r="B190" s="4" t="s">
        <v>85</v>
      </c>
      <c r="C190" s="12">
        <v>11.167999999999999</v>
      </c>
      <c r="D190" s="28">
        <v>0.241027778</v>
      </c>
      <c r="E190" s="19">
        <f t="shared" si="2"/>
        <v>11.167999999999999</v>
      </c>
      <c r="F190" s="19">
        <f>C190*'Model Inputs'!$B$20</f>
        <v>0.78176000000000001</v>
      </c>
      <c r="G190" s="31">
        <f>C190*'Model Inputs'!$B$21</f>
        <v>1.2284799999999999E-3</v>
      </c>
    </row>
    <row r="191" spans="1:7">
      <c r="A191" s="8" t="s">
        <v>42</v>
      </c>
      <c r="B191" s="4" t="s">
        <v>89</v>
      </c>
      <c r="C191" s="12">
        <v>27.389099999999999</v>
      </c>
      <c r="D191" s="28">
        <v>0.58925000000000005</v>
      </c>
      <c r="E191" s="19">
        <f t="shared" si="2"/>
        <v>27.389099999999999</v>
      </c>
      <c r="F191" s="19">
        <f>C191*'Model Inputs'!$B$20</f>
        <v>1.9172370000000001</v>
      </c>
      <c r="G191" s="31">
        <f>C191*'Model Inputs'!$B$21</f>
        <v>3.0128009999999998E-3</v>
      </c>
    </row>
    <row r="192" spans="1:7">
      <c r="A192" s="8" t="s">
        <v>42</v>
      </c>
      <c r="B192" s="4" t="s">
        <v>92</v>
      </c>
      <c r="C192" s="12">
        <v>16.546800000000001</v>
      </c>
      <c r="D192" s="28">
        <v>0.35747222200000001</v>
      </c>
      <c r="E192" s="19">
        <f t="shared" si="2"/>
        <v>16.546800000000001</v>
      </c>
      <c r="F192" s="19">
        <f>C192*'Model Inputs'!$B$20</f>
        <v>1.1582760000000001</v>
      </c>
      <c r="G192" s="31">
        <f>C192*'Model Inputs'!$B$21</f>
        <v>1.8201480000000002E-3</v>
      </c>
    </row>
    <row r="193" spans="1:7">
      <c r="A193" s="8" t="s">
        <v>42</v>
      </c>
      <c r="B193" s="4" t="s">
        <v>95</v>
      </c>
      <c r="C193" s="12">
        <v>37.180300000000003</v>
      </c>
      <c r="D193" s="28">
        <v>0.58880555599999995</v>
      </c>
      <c r="E193" s="19">
        <f t="shared" si="2"/>
        <v>37.180300000000003</v>
      </c>
      <c r="F193" s="19">
        <f>C193*'Model Inputs'!$B$20</f>
        <v>2.6026210000000005</v>
      </c>
      <c r="G193" s="31">
        <f>C193*'Model Inputs'!$B$21</f>
        <v>4.0898330000000002E-3</v>
      </c>
    </row>
    <row r="194" spans="1:7">
      <c r="A194" s="8" t="s">
        <v>46</v>
      </c>
      <c r="B194" s="4" t="s">
        <v>2</v>
      </c>
      <c r="C194" s="12">
        <v>13.470800000000001</v>
      </c>
      <c r="D194" s="28">
        <v>0.29336111100000001</v>
      </c>
      <c r="E194" s="19">
        <f t="shared" ref="E194:E257" si="3">C194</f>
        <v>13.470800000000001</v>
      </c>
      <c r="F194" s="19">
        <f>C194*'Model Inputs'!$B$20</f>
        <v>0.94295600000000013</v>
      </c>
      <c r="G194" s="31">
        <f>C194*'Model Inputs'!$B$21</f>
        <v>1.4817880000000002E-3</v>
      </c>
    </row>
    <row r="195" spans="1:7">
      <c r="A195" s="8" t="s">
        <v>46</v>
      </c>
      <c r="B195" s="4" t="s">
        <v>18</v>
      </c>
      <c r="C195" s="12">
        <v>16.363600000000002</v>
      </c>
      <c r="D195" s="28">
        <v>0.351972222</v>
      </c>
      <c r="E195" s="19">
        <f t="shared" si="3"/>
        <v>16.363600000000002</v>
      </c>
      <c r="F195" s="19">
        <f>C195*'Model Inputs'!$B$20</f>
        <v>1.1454520000000001</v>
      </c>
      <c r="G195" s="31">
        <f>C195*'Model Inputs'!$B$21</f>
        <v>1.7999960000000003E-3</v>
      </c>
    </row>
    <row r="196" spans="1:7">
      <c r="A196" s="8" t="s">
        <v>46</v>
      </c>
      <c r="B196" s="4" t="s">
        <v>23</v>
      </c>
      <c r="C196" s="12">
        <v>12.337199999999999</v>
      </c>
      <c r="D196" s="28">
        <v>0.25363888899999998</v>
      </c>
      <c r="E196" s="19">
        <f t="shared" si="3"/>
        <v>12.337199999999999</v>
      </c>
      <c r="F196" s="19">
        <f>C196*'Model Inputs'!$B$20</f>
        <v>0.86360400000000004</v>
      </c>
      <c r="G196" s="31">
        <f>C196*'Model Inputs'!$B$21</f>
        <v>1.3570920000000001E-3</v>
      </c>
    </row>
    <row r="197" spans="1:7">
      <c r="A197" s="8" t="s">
        <v>46</v>
      </c>
      <c r="B197" s="4" t="s">
        <v>27</v>
      </c>
      <c r="C197" s="12">
        <v>8.3991000000000007</v>
      </c>
      <c r="D197" s="28">
        <v>0.206055556</v>
      </c>
      <c r="E197" s="19">
        <f t="shared" si="3"/>
        <v>8.3991000000000007</v>
      </c>
      <c r="F197" s="19">
        <f>C197*'Model Inputs'!$B$20</f>
        <v>0.58793700000000015</v>
      </c>
      <c r="G197" s="31">
        <f>C197*'Model Inputs'!$B$21</f>
        <v>9.2390100000000008E-4</v>
      </c>
    </row>
    <row r="198" spans="1:7">
      <c r="A198" s="8" t="s">
        <v>46</v>
      </c>
      <c r="B198" s="4" t="s">
        <v>31</v>
      </c>
      <c r="C198" s="12">
        <v>10.7407</v>
      </c>
      <c r="D198" s="28">
        <v>0.20811111099999999</v>
      </c>
      <c r="E198" s="19">
        <f t="shared" si="3"/>
        <v>10.7407</v>
      </c>
      <c r="F198" s="19">
        <f>C198*'Model Inputs'!$B$20</f>
        <v>0.7518490000000001</v>
      </c>
      <c r="G198" s="31">
        <f>C198*'Model Inputs'!$B$21</f>
        <v>1.181477E-3</v>
      </c>
    </row>
    <row r="199" spans="1:7">
      <c r="A199" s="8" t="s">
        <v>46</v>
      </c>
      <c r="B199" s="4" t="s">
        <v>35</v>
      </c>
      <c r="C199" s="12">
        <v>10.606999999999999</v>
      </c>
      <c r="D199" s="28">
        <v>0.25258333300000002</v>
      </c>
      <c r="E199" s="19">
        <f t="shared" si="3"/>
        <v>10.606999999999999</v>
      </c>
      <c r="F199" s="19">
        <f>C199*'Model Inputs'!$B$20</f>
        <v>0.74248999999999998</v>
      </c>
      <c r="G199" s="31">
        <f>C199*'Model Inputs'!$B$21</f>
        <v>1.1667699999999999E-3</v>
      </c>
    </row>
    <row r="200" spans="1:7">
      <c r="A200" s="8" t="s">
        <v>46</v>
      </c>
      <c r="B200" s="4" t="s">
        <v>38</v>
      </c>
      <c r="C200" s="12">
        <v>28.892199999999999</v>
      </c>
      <c r="D200" s="28">
        <v>0.46755555599999998</v>
      </c>
      <c r="E200" s="19">
        <f t="shared" si="3"/>
        <v>28.892199999999999</v>
      </c>
      <c r="F200" s="19">
        <f>C200*'Model Inputs'!$B$20</f>
        <v>2.0224540000000002</v>
      </c>
      <c r="G200" s="31">
        <f>C200*'Model Inputs'!$B$21</f>
        <v>3.1781420000000001E-3</v>
      </c>
    </row>
    <row r="201" spans="1:7">
      <c r="A201" s="8" t="s">
        <v>46</v>
      </c>
      <c r="B201" s="4" t="s">
        <v>42</v>
      </c>
      <c r="C201" s="12">
        <v>11.619400000000001</v>
      </c>
      <c r="D201" s="28">
        <v>0.24219444400000001</v>
      </c>
      <c r="E201" s="19">
        <f t="shared" si="3"/>
        <v>11.619400000000001</v>
      </c>
      <c r="F201" s="19">
        <f>C201*'Model Inputs'!$B$20</f>
        <v>0.81335800000000014</v>
      </c>
      <c r="G201" s="31">
        <f>C201*'Model Inputs'!$B$21</f>
        <v>1.2781340000000002E-3</v>
      </c>
    </row>
    <row r="202" spans="1:7">
      <c r="A202" s="8" t="s">
        <v>46</v>
      </c>
      <c r="B202" s="4" t="s">
        <v>49</v>
      </c>
      <c r="C202" s="12">
        <v>26.674600000000002</v>
      </c>
      <c r="D202" s="28">
        <v>0.44700000000000001</v>
      </c>
      <c r="E202" s="19">
        <f t="shared" si="3"/>
        <v>26.674600000000002</v>
      </c>
      <c r="F202" s="19">
        <f>C202*'Model Inputs'!$B$20</f>
        <v>1.8672220000000004</v>
      </c>
      <c r="G202" s="31">
        <f>C202*'Model Inputs'!$B$21</f>
        <v>2.9342060000000004E-3</v>
      </c>
    </row>
    <row r="203" spans="1:7">
      <c r="A203" s="8" t="s">
        <v>46</v>
      </c>
      <c r="B203" s="4" t="s">
        <v>52</v>
      </c>
      <c r="C203" s="12">
        <v>25.372800000000002</v>
      </c>
      <c r="D203" s="28">
        <v>0.50402777799999998</v>
      </c>
      <c r="E203" s="19">
        <f t="shared" si="3"/>
        <v>25.372800000000002</v>
      </c>
      <c r="F203" s="19">
        <f>C203*'Model Inputs'!$B$20</f>
        <v>1.7760960000000003</v>
      </c>
      <c r="G203" s="31">
        <f>C203*'Model Inputs'!$B$21</f>
        <v>2.7910080000000002E-3</v>
      </c>
    </row>
    <row r="204" spans="1:7">
      <c r="A204" s="8" t="s">
        <v>46</v>
      </c>
      <c r="B204" s="4" t="s">
        <v>55</v>
      </c>
      <c r="C204" s="12">
        <v>16.680099999999999</v>
      </c>
      <c r="D204" s="28">
        <v>0.29080555600000002</v>
      </c>
      <c r="E204" s="19">
        <f t="shared" si="3"/>
        <v>16.680099999999999</v>
      </c>
      <c r="F204" s="19">
        <f>C204*'Model Inputs'!$B$20</f>
        <v>1.1676070000000001</v>
      </c>
      <c r="G204" s="31">
        <f>C204*'Model Inputs'!$B$21</f>
        <v>1.834811E-3</v>
      </c>
    </row>
    <row r="205" spans="1:7">
      <c r="A205" s="8" t="s">
        <v>46</v>
      </c>
      <c r="B205" s="4" t="s">
        <v>58</v>
      </c>
      <c r="C205" s="12">
        <v>31.7621</v>
      </c>
      <c r="D205" s="28">
        <v>0.47002777800000001</v>
      </c>
      <c r="E205" s="19">
        <f t="shared" si="3"/>
        <v>31.7621</v>
      </c>
      <c r="F205" s="19">
        <f>C205*'Model Inputs'!$B$20</f>
        <v>2.2233470000000004</v>
      </c>
      <c r="G205" s="31">
        <f>C205*'Model Inputs'!$B$21</f>
        <v>3.4938310000000002E-3</v>
      </c>
    </row>
    <row r="206" spans="1:7">
      <c r="A206" s="8" t="s">
        <v>46</v>
      </c>
      <c r="B206" s="4" t="s">
        <v>61</v>
      </c>
      <c r="C206" s="12">
        <v>8.0420999999999996</v>
      </c>
      <c r="D206" s="28">
        <v>0.182</v>
      </c>
      <c r="E206" s="19">
        <f t="shared" si="3"/>
        <v>8.0420999999999996</v>
      </c>
      <c r="F206" s="19">
        <f>C206*'Model Inputs'!$B$20</f>
        <v>0.56294699999999998</v>
      </c>
      <c r="G206" s="31">
        <f>C206*'Model Inputs'!$B$21</f>
        <v>8.8463099999999998E-4</v>
      </c>
    </row>
    <row r="207" spans="1:7">
      <c r="A207" s="8" t="s">
        <v>46</v>
      </c>
      <c r="B207" s="4" t="s">
        <v>64</v>
      </c>
      <c r="C207" s="12">
        <v>14.064299999999999</v>
      </c>
      <c r="D207" s="28">
        <v>0.26808333299999998</v>
      </c>
      <c r="E207" s="19">
        <f t="shared" si="3"/>
        <v>14.064299999999999</v>
      </c>
      <c r="F207" s="19">
        <f>C207*'Model Inputs'!$B$20</f>
        <v>0.98450100000000007</v>
      </c>
      <c r="G207" s="31">
        <f>C207*'Model Inputs'!$B$21</f>
        <v>1.5470729999999999E-3</v>
      </c>
    </row>
    <row r="208" spans="1:7">
      <c r="A208" s="8" t="s">
        <v>46</v>
      </c>
      <c r="B208" s="4" t="s">
        <v>67</v>
      </c>
      <c r="C208" s="12">
        <v>25.328800000000001</v>
      </c>
      <c r="D208" s="28">
        <v>0.44705555600000002</v>
      </c>
      <c r="E208" s="19">
        <f t="shared" si="3"/>
        <v>25.328800000000001</v>
      </c>
      <c r="F208" s="19">
        <f>C208*'Model Inputs'!$B$20</f>
        <v>1.7730160000000001</v>
      </c>
      <c r="G208" s="31">
        <f>C208*'Model Inputs'!$B$21</f>
        <v>2.7861680000000003E-3</v>
      </c>
    </row>
    <row r="209" spans="1:7">
      <c r="A209" s="8" t="s">
        <v>46</v>
      </c>
      <c r="B209" s="4" t="s">
        <v>70</v>
      </c>
      <c r="C209" s="12">
        <v>39.906100000000002</v>
      </c>
      <c r="D209" s="28">
        <v>0.68616666699999995</v>
      </c>
      <c r="E209" s="19">
        <f t="shared" si="3"/>
        <v>39.906100000000002</v>
      </c>
      <c r="F209" s="19">
        <f>C209*'Model Inputs'!$B$20</f>
        <v>2.7934270000000003</v>
      </c>
      <c r="G209" s="31">
        <f>C209*'Model Inputs'!$B$21</f>
        <v>4.3896710000000004E-3</v>
      </c>
    </row>
    <row r="210" spans="1:7">
      <c r="A210" s="8" t="s">
        <v>46</v>
      </c>
      <c r="B210" s="4" t="s">
        <v>73</v>
      </c>
      <c r="C210" s="12">
        <v>33.775199999999998</v>
      </c>
      <c r="D210" s="28">
        <v>0.62022222199999999</v>
      </c>
      <c r="E210" s="19">
        <f t="shared" si="3"/>
        <v>33.775199999999998</v>
      </c>
      <c r="F210" s="19">
        <f>C210*'Model Inputs'!$B$20</f>
        <v>2.3642639999999999</v>
      </c>
      <c r="G210" s="31">
        <f>C210*'Model Inputs'!$B$21</f>
        <v>3.7152719999999999E-3</v>
      </c>
    </row>
    <row r="211" spans="1:7">
      <c r="A211" s="8" t="s">
        <v>46</v>
      </c>
      <c r="B211" s="4" t="s">
        <v>76</v>
      </c>
      <c r="C211" s="12">
        <v>19.203700000000001</v>
      </c>
      <c r="D211" s="28">
        <v>0.35897222200000001</v>
      </c>
      <c r="E211" s="19">
        <f t="shared" si="3"/>
        <v>19.203700000000001</v>
      </c>
      <c r="F211" s="19">
        <f>C211*'Model Inputs'!$B$20</f>
        <v>1.3442590000000003</v>
      </c>
      <c r="G211" s="31">
        <f>C211*'Model Inputs'!$B$21</f>
        <v>2.1124070000000002E-3</v>
      </c>
    </row>
    <row r="212" spans="1:7">
      <c r="A212" s="8" t="s">
        <v>46</v>
      </c>
      <c r="B212" s="4" t="s">
        <v>79</v>
      </c>
      <c r="C212" s="12">
        <v>21.202100000000002</v>
      </c>
      <c r="D212" s="28">
        <v>0.486666667</v>
      </c>
      <c r="E212" s="19">
        <f t="shared" si="3"/>
        <v>21.202100000000002</v>
      </c>
      <c r="F212" s="19">
        <f>C212*'Model Inputs'!$B$20</f>
        <v>1.4841470000000003</v>
      </c>
      <c r="G212" s="31">
        <f>C212*'Model Inputs'!$B$21</f>
        <v>2.3322310000000001E-3</v>
      </c>
    </row>
    <row r="213" spans="1:7">
      <c r="A213" s="8" t="s">
        <v>46</v>
      </c>
      <c r="B213" s="4" t="s">
        <v>82</v>
      </c>
      <c r="C213" s="12">
        <v>21.386900000000001</v>
      </c>
      <c r="D213" s="28">
        <v>0.34302777800000001</v>
      </c>
      <c r="E213" s="19">
        <f t="shared" si="3"/>
        <v>21.386900000000001</v>
      </c>
      <c r="F213" s="19">
        <f>C213*'Model Inputs'!$B$20</f>
        <v>1.4970830000000002</v>
      </c>
      <c r="G213" s="31">
        <f>C213*'Model Inputs'!$B$21</f>
        <v>2.3525590000000002E-3</v>
      </c>
    </row>
    <row r="214" spans="1:7">
      <c r="A214" s="8" t="s">
        <v>46</v>
      </c>
      <c r="B214" s="4" t="s">
        <v>85</v>
      </c>
      <c r="C214" s="12">
        <v>2.7852000000000001</v>
      </c>
      <c r="D214" s="28">
        <v>7.7916666999999995E-2</v>
      </c>
      <c r="E214" s="19">
        <f t="shared" si="3"/>
        <v>2.7852000000000001</v>
      </c>
      <c r="F214" s="19">
        <f>C214*'Model Inputs'!$B$20</f>
        <v>0.19496400000000003</v>
      </c>
      <c r="G214" s="31">
        <f>C214*'Model Inputs'!$B$21</f>
        <v>3.0637200000000001E-4</v>
      </c>
    </row>
    <row r="215" spans="1:7">
      <c r="A215" s="8" t="s">
        <v>46</v>
      </c>
      <c r="B215" s="4" t="s">
        <v>89</v>
      </c>
      <c r="C215" s="12">
        <v>19.067399999999999</v>
      </c>
      <c r="D215" s="28">
        <v>0.418472222</v>
      </c>
      <c r="E215" s="19">
        <f t="shared" si="3"/>
        <v>19.067399999999999</v>
      </c>
      <c r="F215" s="19">
        <f>C215*'Model Inputs'!$B$20</f>
        <v>1.3347180000000001</v>
      </c>
      <c r="G215" s="31">
        <f>C215*'Model Inputs'!$B$21</f>
        <v>2.0974140000000001E-3</v>
      </c>
    </row>
    <row r="216" spans="1:7">
      <c r="A216" s="8" t="s">
        <v>46</v>
      </c>
      <c r="B216" s="4" t="s">
        <v>92</v>
      </c>
      <c r="C216" s="12">
        <v>11.2593</v>
      </c>
      <c r="D216" s="28">
        <v>0.237694444</v>
      </c>
      <c r="E216" s="19">
        <f t="shared" si="3"/>
        <v>11.2593</v>
      </c>
      <c r="F216" s="19">
        <f>C216*'Model Inputs'!$B$20</f>
        <v>0.78815100000000005</v>
      </c>
      <c r="G216" s="31">
        <f>C216*'Model Inputs'!$B$21</f>
        <v>1.2385230000000001E-3</v>
      </c>
    </row>
    <row r="217" spans="1:7">
      <c r="A217" s="8" t="s">
        <v>46</v>
      </c>
      <c r="B217" s="4" t="s">
        <v>95</v>
      </c>
      <c r="C217" s="12">
        <v>29.763500000000001</v>
      </c>
      <c r="D217" s="28">
        <v>0.4375</v>
      </c>
      <c r="E217" s="19">
        <f t="shared" si="3"/>
        <v>29.763500000000001</v>
      </c>
      <c r="F217" s="19">
        <f>C217*'Model Inputs'!$B$20</f>
        <v>2.0834450000000002</v>
      </c>
      <c r="G217" s="31">
        <f>C217*'Model Inputs'!$B$21</f>
        <v>3.2739850000000001E-3</v>
      </c>
    </row>
    <row r="218" spans="1:7">
      <c r="A218" s="8" t="s">
        <v>49</v>
      </c>
      <c r="B218" s="4" t="s">
        <v>2</v>
      </c>
      <c r="C218" s="12">
        <v>31.200700000000001</v>
      </c>
      <c r="D218" s="28">
        <v>0.56944444400000005</v>
      </c>
      <c r="E218" s="19">
        <f t="shared" si="3"/>
        <v>31.200700000000001</v>
      </c>
      <c r="F218" s="19">
        <f>C218*'Model Inputs'!$B$20</f>
        <v>2.1840490000000004</v>
      </c>
      <c r="G218" s="31">
        <f>C218*'Model Inputs'!$B$21</f>
        <v>3.4320770000000004E-3</v>
      </c>
    </row>
    <row r="219" spans="1:7">
      <c r="A219" s="8" t="s">
        <v>49</v>
      </c>
      <c r="B219" s="4" t="s">
        <v>18</v>
      </c>
      <c r="C219" s="12">
        <v>36.367400000000004</v>
      </c>
      <c r="D219" s="28">
        <v>0.68280555600000004</v>
      </c>
      <c r="E219" s="19">
        <f t="shared" si="3"/>
        <v>36.367400000000004</v>
      </c>
      <c r="F219" s="19">
        <f>C219*'Model Inputs'!$B$20</f>
        <v>2.5457180000000004</v>
      </c>
      <c r="G219" s="31">
        <f>C219*'Model Inputs'!$B$21</f>
        <v>4.0004140000000007E-3</v>
      </c>
    </row>
    <row r="220" spans="1:7">
      <c r="A220" s="8" t="s">
        <v>49</v>
      </c>
      <c r="B220" s="4" t="s">
        <v>23</v>
      </c>
      <c r="C220" s="12">
        <v>32.341000000000001</v>
      </c>
      <c r="D220" s="28">
        <v>0.58447222200000004</v>
      </c>
      <c r="E220" s="19">
        <f t="shared" si="3"/>
        <v>32.341000000000001</v>
      </c>
      <c r="F220" s="19">
        <f>C220*'Model Inputs'!$B$20</f>
        <v>2.2638700000000003</v>
      </c>
      <c r="G220" s="31">
        <f>C220*'Model Inputs'!$B$21</f>
        <v>3.5575100000000003E-3</v>
      </c>
    </row>
    <row r="221" spans="1:7">
      <c r="A221" s="8" t="s">
        <v>49</v>
      </c>
      <c r="B221" s="4" t="s">
        <v>27</v>
      </c>
      <c r="C221" s="12">
        <v>24.575099999999999</v>
      </c>
      <c r="D221" s="28">
        <v>0.46408333299999999</v>
      </c>
      <c r="E221" s="19">
        <f t="shared" si="3"/>
        <v>24.575099999999999</v>
      </c>
      <c r="F221" s="19">
        <f>C221*'Model Inputs'!$B$20</f>
        <v>1.7202570000000001</v>
      </c>
      <c r="G221" s="31">
        <f>C221*'Model Inputs'!$B$21</f>
        <v>2.7032610000000002E-3</v>
      </c>
    </row>
    <row r="222" spans="1:7">
      <c r="A222" s="8" t="s">
        <v>49</v>
      </c>
      <c r="B222" s="4" t="s">
        <v>31</v>
      </c>
      <c r="C222" s="12">
        <v>17.053799999999999</v>
      </c>
      <c r="D222" s="28">
        <v>0.28749999999999998</v>
      </c>
      <c r="E222" s="19">
        <f t="shared" si="3"/>
        <v>17.053799999999999</v>
      </c>
      <c r="F222" s="19">
        <f>C222*'Model Inputs'!$B$20</f>
        <v>1.1937660000000001</v>
      </c>
      <c r="G222" s="31">
        <f>C222*'Model Inputs'!$B$21</f>
        <v>1.8759179999999999E-3</v>
      </c>
    </row>
    <row r="223" spans="1:7">
      <c r="A223" s="8" t="s">
        <v>49</v>
      </c>
      <c r="B223" s="4" t="s">
        <v>35</v>
      </c>
      <c r="C223" s="12">
        <v>37.402500000000003</v>
      </c>
      <c r="D223" s="28">
        <v>0.59330555600000001</v>
      </c>
      <c r="E223" s="19">
        <f t="shared" si="3"/>
        <v>37.402500000000003</v>
      </c>
      <c r="F223" s="19">
        <f>C223*'Model Inputs'!$B$20</f>
        <v>2.6181750000000004</v>
      </c>
      <c r="G223" s="31">
        <f>C223*'Model Inputs'!$B$21</f>
        <v>4.1142750000000006E-3</v>
      </c>
    </row>
    <row r="224" spans="1:7">
      <c r="A224" s="8" t="s">
        <v>49</v>
      </c>
      <c r="B224" s="4" t="s">
        <v>38</v>
      </c>
      <c r="C224" s="12">
        <v>6.5797999999999996</v>
      </c>
      <c r="D224" s="28">
        <v>0.19091666700000001</v>
      </c>
      <c r="E224" s="19">
        <f t="shared" si="3"/>
        <v>6.5797999999999996</v>
      </c>
      <c r="F224" s="19">
        <f>C224*'Model Inputs'!$B$20</f>
        <v>0.460586</v>
      </c>
      <c r="G224" s="31">
        <f>C224*'Model Inputs'!$B$21</f>
        <v>7.2377800000000001E-4</v>
      </c>
    </row>
    <row r="225" spans="1:7">
      <c r="A225" s="8" t="s">
        <v>49</v>
      </c>
      <c r="B225" s="4" t="s">
        <v>42</v>
      </c>
      <c r="C225" s="12">
        <v>35.562100000000001</v>
      </c>
      <c r="D225" s="28">
        <v>0.555888889</v>
      </c>
      <c r="E225" s="19">
        <f t="shared" si="3"/>
        <v>35.562100000000001</v>
      </c>
      <c r="F225" s="19">
        <f>C225*'Model Inputs'!$B$20</f>
        <v>2.4893470000000004</v>
      </c>
      <c r="G225" s="31">
        <f>C225*'Model Inputs'!$B$21</f>
        <v>3.9118310000000002E-3</v>
      </c>
    </row>
    <row r="226" spans="1:7">
      <c r="A226" s="8" t="s">
        <v>49</v>
      </c>
      <c r="B226" s="4" t="s">
        <v>46</v>
      </c>
      <c r="C226" s="12">
        <v>24.742799999999999</v>
      </c>
      <c r="D226" s="28">
        <v>0.43774999999999997</v>
      </c>
      <c r="E226" s="19">
        <f t="shared" si="3"/>
        <v>24.742799999999999</v>
      </c>
      <c r="F226" s="19">
        <f>C226*'Model Inputs'!$B$20</f>
        <v>1.7319960000000001</v>
      </c>
      <c r="G226" s="31">
        <f>C226*'Model Inputs'!$B$21</f>
        <v>2.7217080000000002E-3</v>
      </c>
    </row>
    <row r="227" spans="1:7">
      <c r="A227" s="8" t="s">
        <v>49</v>
      </c>
      <c r="B227" s="4" t="s">
        <v>52</v>
      </c>
      <c r="C227" s="12">
        <v>39.082900000000002</v>
      </c>
      <c r="D227" s="28">
        <v>0.734555556</v>
      </c>
      <c r="E227" s="19">
        <f t="shared" si="3"/>
        <v>39.082900000000002</v>
      </c>
      <c r="F227" s="19">
        <f>C227*'Model Inputs'!$B$20</f>
        <v>2.7358030000000002</v>
      </c>
      <c r="G227" s="31">
        <f>C227*'Model Inputs'!$B$21</f>
        <v>4.2991190000000006E-3</v>
      </c>
    </row>
    <row r="228" spans="1:7">
      <c r="A228" s="8" t="s">
        <v>49</v>
      </c>
      <c r="B228" s="4" t="s">
        <v>55</v>
      </c>
      <c r="C228" s="12">
        <v>30.3902</v>
      </c>
      <c r="D228" s="28">
        <v>0.52133333299999995</v>
      </c>
      <c r="E228" s="19">
        <f t="shared" si="3"/>
        <v>30.3902</v>
      </c>
      <c r="F228" s="19">
        <f>C228*'Model Inputs'!$B$20</f>
        <v>2.1273140000000001</v>
      </c>
      <c r="G228" s="31">
        <f>C228*'Model Inputs'!$B$21</f>
        <v>3.3429220000000003E-3</v>
      </c>
    </row>
    <row r="229" spans="1:7">
      <c r="A229" s="8" t="s">
        <v>49</v>
      </c>
      <c r="B229" s="4" t="s">
        <v>58</v>
      </c>
      <c r="C229" s="12">
        <v>45.472200000000001</v>
      </c>
      <c r="D229" s="28">
        <v>0.70055555599999997</v>
      </c>
      <c r="E229" s="19">
        <f t="shared" si="3"/>
        <v>45.472200000000001</v>
      </c>
      <c r="F229" s="19">
        <f>C229*'Model Inputs'!$B$20</f>
        <v>3.1830540000000003</v>
      </c>
      <c r="G229" s="31">
        <f>C229*'Model Inputs'!$B$21</f>
        <v>5.0019420000000005E-3</v>
      </c>
    </row>
    <row r="230" spans="1:7">
      <c r="A230" s="8" t="s">
        <v>49</v>
      </c>
      <c r="B230" s="4" t="s">
        <v>61</v>
      </c>
      <c r="C230" s="12">
        <v>26.069900000000001</v>
      </c>
      <c r="D230" s="28">
        <v>0.45477777800000002</v>
      </c>
      <c r="E230" s="19">
        <f t="shared" si="3"/>
        <v>26.069900000000001</v>
      </c>
      <c r="F230" s="19">
        <f>C230*'Model Inputs'!$B$20</f>
        <v>1.8248930000000003</v>
      </c>
      <c r="G230" s="31">
        <f>C230*'Model Inputs'!$B$21</f>
        <v>2.8676890000000001E-3</v>
      </c>
    </row>
    <row r="231" spans="1:7">
      <c r="A231" s="8" t="s">
        <v>49</v>
      </c>
      <c r="B231" s="4" t="s">
        <v>64</v>
      </c>
      <c r="C231" s="12">
        <v>12.415800000000001</v>
      </c>
      <c r="D231" s="28">
        <v>0.23</v>
      </c>
      <c r="E231" s="19">
        <f t="shared" si="3"/>
        <v>12.415800000000001</v>
      </c>
      <c r="F231" s="19">
        <f>C231*'Model Inputs'!$B$20</f>
        <v>0.86910600000000016</v>
      </c>
      <c r="G231" s="31">
        <f>C231*'Model Inputs'!$B$21</f>
        <v>1.3657380000000002E-3</v>
      </c>
    </row>
    <row r="232" spans="1:7">
      <c r="A232" s="8" t="s">
        <v>49</v>
      </c>
      <c r="B232" s="4" t="s">
        <v>67</v>
      </c>
      <c r="C232" s="12">
        <v>45.332599999999999</v>
      </c>
      <c r="D232" s="28">
        <v>0.77788888899999997</v>
      </c>
      <c r="E232" s="19">
        <f t="shared" si="3"/>
        <v>45.332599999999999</v>
      </c>
      <c r="F232" s="19">
        <f>C232*'Model Inputs'!$B$20</f>
        <v>3.1732820000000004</v>
      </c>
      <c r="G232" s="31">
        <f>C232*'Model Inputs'!$B$21</f>
        <v>4.9865860000000003E-3</v>
      </c>
    </row>
    <row r="233" spans="1:7">
      <c r="A233" s="8" t="s">
        <v>49</v>
      </c>
      <c r="B233" s="4" t="s">
        <v>70</v>
      </c>
      <c r="C233" s="12">
        <v>51.0441</v>
      </c>
      <c r="D233" s="28">
        <v>0.90830555599999996</v>
      </c>
      <c r="E233" s="19">
        <f t="shared" si="3"/>
        <v>51.0441</v>
      </c>
      <c r="F233" s="19">
        <f>C233*'Model Inputs'!$B$20</f>
        <v>3.5730870000000006</v>
      </c>
      <c r="G233" s="31">
        <f>C233*'Model Inputs'!$B$21</f>
        <v>5.6148510000000006E-3</v>
      </c>
    </row>
    <row r="234" spans="1:7">
      <c r="A234" s="8" t="s">
        <v>49</v>
      </c>
      <c r="B234" s="4" t="s">
        <v>73</v>
      </c>
      <c r="C234" s="12">
        <v>53.779000000000003</v>
      </c>
      <c r="D234" s="28">
        <v>0.95105555600000002</v>
      </c>
      <c r="E234" s="19">
        <f t="shared" si="3"/>
        <v>53.779000000000003</v>
      </c>
      <c r="F234" s="19">
        <f>C234*'Model Inputs'!$B$20</f>
        <v>3.7645300000000006</v>
      </c>
      <c r="G234" s="31">
        <f>C234*'Model Inputs'!$B$21</f>
        <v>5.9156900000000004E-3</v>
      </c>
    </row>
    <row r="235" spans="1:7">
      <c r="A235" s="8" t="s">
        <v>49</v>
      </c>
      <c r="B235" s="4" t="s">
        <v>76</v>
      </c>
      <c r="C235" s="12">
        <v>43.167700000000004</v>
      </c>
      <c r="D235" s="28">
        <v>0.72291666700000001</v>
      </c>
      <c r="E235" s="19">
        <f t="shared" si="3"/>
        <v>43.167700000000004</v>
      </c>
      <c r="F235" s="19">
        <f>C235*'Model Inputs'!$B$20</f>
        <v>3.0217390000000006</v>
      </c>
      <c r="G235" s="31">
        <f>C235*'Model Inputs'!$B$21</f>
        <v>4.7484470000000003E-3</v>
      </c>
    </row>
    <row r="236" spans="1:7">
      <c r="A236" s="8" t="s">
        <v>49</v>
      </c>
      <c r="B236" s="4" t="s">
        <v>79</v>
      </c>
      <c r="C236" s="12">
        <v>41.2059</v>
      </c>
      <c r="D236" s="28">
        <v>0.8175</v>
      </c>
      <c r="E236" s="19">
        <f t="shared" si="3"/>
        <v>41.2059</v>
      </c>
      <c r="F236" s="19">
        <f>C236*'Model Inputs'!$B$20</f>
        <v>2.8844130000000003</v>
      </c>
      <c r="G236" s="31">
        <f>C236*'Model Inputs'!$B$21</f>
        <v>4.5326489999999997E-3</v>
      </c>
    </row>
    <row r="237" spans="1:7">
      <c r="A237" s="8" t="s">
        <v>49</v>
      </c>
      <c r="B237" s="4" t="s">
        <v>82</v>
      </c>
      <c r="C237" s="12">
        <v>45.329599999999999</v>
      </c>
      <c r="D237" s="28">
        <v>0.65672222199999997</v>
      </c>
      <c r="E237" s="19">
        <f t="shared" si="3"/>
        <v>45.329599999999999</v>
      </c>
      <c r="F237" s="19">
        <f>C237*'Model Inputs'!$B$20</f>
        <v>3.1730720000000003</v>
      </c>
      <c r="G237" s="31">
        <f>C237*'Model Inputs'!$B$21</f>
        <v>4.9862559999999997E-3</v>
      </c>
    </row>
    <row r="238" spans="1:7">
      <c r="A238" s="8" t="s">
        <v>49</v>
      </c>
      <c r="B238" s="4" t="s">
        <v>85</v>
      </c>
      <c r="C238" s="12">
        <v>21.395499999999998</v>
      </c>
      <c r="D238" s="28">
        <v>0.37958333300000002</v>
      </c>
      <c r="E238" s="19">
        <f t="shared" si="3"/>
        <v>21.395499999999998</v>
      </c>
      <c r="F238" s="19">
        <f>C238*'Model Inputs'!$B$20</f>
        <v>1.4976849999999999</v>
      </c>
      <c r="G238" s="31">
        <f>C238*'Model Inputs'!$B$21</f>
        <v>2.3535050000000001E-3</v>
      </c>
    </row>
    <row r="239" spans="1:7">
      <c r="A239" s="8" t="s">
        <v>49</v>
      </c>
      <c r="B239" s="4" t="s">
        <v>89</v>
      </c>
      <c r="C239" s="12">
        <v>36.797400000000003</v>
      </c>
      <c r="D239" s="28">
        <v>0.69455555599999996</v>
      </c>
      <c r="E239" s="19">
        <f t="shared" si="3"/>
        <v>36.797400000000003</v>
      </c>
      <c r="F239" s="19">
        <f>C239*'Model Inputs'!$B$20</f>
        <v>2.5758180000000004</v>
      </c>
      <c r="G239" s="31">
        <f>C239*'Model Inputs'!$B$21</f>
        <v>4.0477140000000009E-3</v>
      </c>
    </row>
    <row r="240" spans="1:7">
      <c r="A240" s="8" t="s">
        <v>49</v>
      </c>
      <c r="B240" s="4" t="s">
        <v>92</v>
      </c>
      <c r="C240" s="12">
        <v>31.263100000000001</v>
      </c>
      <c r="D240" s="28">
        <v>0.56852777799999998</v>
      </c>
      <c r="E240" s="19">
        <f t="shared" si="3"/>
        <v>31.263100000000001</v>
      </c>
      <c r="F240" s="19">
        <f>C240*'Model Inputs'!$B$20</f>
        <v>2.1884170000000003</v>
      </c>
      <c r="G240" s="31">
        <f>C240*'Model Inputs'!$B$21</f>
        <v>3.4389410000000005E-3</v>
      </c>
    </row>
    <row r="241" spans="1:7">
      <c r="A241" s="8" t="s">
        <v>49</v>
      </c>
      <c r="B241" s="4" t="s">
        <v>95</v>
      </c>
      <c r="C241" s="12">
        <v>43.473599999999998</v>
      </c>
      <c r="D241" s="28">
        <v>0.66802777800000002</v>
      </c>
      <c r="E241" s="19">
        <f t="shared" si="3"/>
        <v>43.473599999999998</v>
      </c>
      <c r="F241" s="19">
        <f>C241*'Model Inputs'!$B$20</f>
        <v>3.0431520000000001</v>
      </c>
      <c r="G241" s="31">
        <f>C241*'Model Inputs'!$B$21</f>
        <v>4.7820959999999996E-3</v>
      </c>
    </row>
    <row r="242" spans="1:7">
      <c r="A242" s="8" t="s">
        <v>52</v>
      </c>
      <c r="B242" s="4" t="s">
        <v>2</v>
      </c>
      <c r="C242" s="12">
        <v>11.980600000000001</v>
      </c>
      <c r="D242" s="28">
        <v>0.261944444</v>
      </c>
      <c r="E242" s="19">
        <f t="shared" si="3"/>
        <v>11.980600000000001</v>
      </c>
      <c r="F242" s="19">
        <f>C242*'Model Inputs'!$B$20</f>
        <v>0.83864200000000011</v>
      </c>
      <c r="G242" s="31">
        <f>C242*'Model Inputs'!$B$21</f>
        <v>1.3178660000000002E-3</v>
      </c>
    </row>
    <row r="243" spans="1:7">
      <c r="A243" s="8" t="s">
        <v>52</v>
      </c>
      <c r="B243" s="4" t="s">
        <v>18</v>
      </c>
      <c r="C243" s="12">
        <v>13.7209</v>
      </c>
      <c r="D243" s="28">
        <v>0.30394444399999998</v>
      </c>
      <c r="E243" s="19">
        <f t="shared" si="3"/>
        <v>13.7209</v>
      </c>
      <c r="F243" s="19">
        <f>C243*'Model Inputs'!$B$20</f>
        <v>0.96046300000000007</v>
      </c>
      <c r="G243" s="31">
        <f>C243*'Model Inputs'!$B$21</f>
        <v>1.5092990000000002E-3</v>
      </c>
    </row>
    <row r="244" spans="1:7">
      <c r="A244" s="8" t="s">
        <v>52</v>
      </c>
      <c r="B244" s="4" t="s">
        <v>23</v>
      </c>
      <c r="C244" s="12">
        <v>20.189299999999999</v>
      </c>
      <c r="D244" s="28">
        <v>0.44077777800000001</v>
      </c>
      <c r="E244" s="19">
        <f t="shared" si="3"/>
        <v>20.189299999999999</v>
      </c>
      <c r="F244" s="19">
        <f>C244*'Model Inputs'!$B$20</f>
        <v>1.413251</v>
      </c>
      <c r="G244" s="31">
        <f>C244*'Model Inputs'!$B$21</f>
        <v>2.2208229999999998E-3</v>
      </c>
    </row>
    <row r="245" spans="1:7">
      <c r="A245" s="8" t="s">
        <v>52</v>
      </c>
      <c r="B245" s="4" t="s">
        <v>27</v>
      </c>
      <c r="C245" s="12">
        <v>16.964700000000001</v>
      </c>
      <c r="D245" s="28">
        <v>0.42344444399999998</v>
      </c>
      <c r="E245" s="19">
        <f t="shared" si="3"/>
        <v>16.964700000000001</v>
      </c>
      <c r="F245" s="19">
        <f>C245*'Model Inputs'!$B$20</f>
        <v>1.1875290000000001</v>
      </c>
      <c r="G245" s="31">
        <f>C245*'Model Inputs'!$B$21</f>
        <v>1.866117E-3</v>
      </c>
    </row>
    <row r="246" spans="1:7">
      <c r="A246" s="8" t="s">
        <v>52</v>
      </c>
      <c r="B246" s="4" t="s">
        <v>31</v>
      </c>
      <c r="C246" s="12">
        <v>24.509499999999999</v>
      </c>
      <c r="D246" s="28">
        <v>0.53311111099999997</v>
      </c>
      <c r="E246" s="19">
        <f t="shared" si="3"/>
        <v>24.509499999999999</v>
      </c>
      <c r="F246" s="19">
        <f>C246*'Model Inputs'!$B$20</f>
        <v>1.715665</v>
      </c>
      <c r="G246" s="31">
        <f>C246*'Model Inputs'!$B$21</f>
        <v>2.6960450000000002E-3</v>
      </c>
    </row>
    <row r="247" spans="1:7">
      <c r="A247" s="8" t="s">
        <v>52</v>
      </c>
      <c r="B247" s="4" t="s">
        <v>35</v>
      </c>
      <c r="C247" s="12">
        <v>30.204499999999999</v>
      </c>
      <c r="D247" s="28">
        <v>0.57474999999999998</v>
      </c>
      <c r="E247" s="19">
        <f t="shared" si="3"/>
        <v>30.204499999999999</v>
      </c>
      <c r="F247" s="19">
        <f>C247*'Model Inputs'!$B$20</f>
        <v>2.1143149999999999</v>
      </c>
      <c r="G247" s="31">
        <f>C247*'Model Inputs'!$B$21</f>
        <v>3.322495E-3</v>
      </c>
    </row>
    <row r="248" spans="1:7">
      <c r="A248" s="8" t="s">
        <v>52</v>
      </c>
      <c r="B248" s="4" t="s">
        <v>38</v>
      </c>
      <c r="C248" s="12">
        <v>42.661000000000001</v>
      </c>
      <c r="D248" s="28">
        <v>0.79255555600000005</v>
      </c>
      <c r="E248" s="19">
        <f t="shared" si="3"/>
        <v>42.661000000000001</v>
      </c>
      <c r="F248" s="19">
        <f>C248*'Model Inputs'!$B$20</f>
        <v>2.9862700000000002</v>
      </c>
      <c r="G248" s="31">
        <f>C248*'Model Inputs'!$B$21</f>
        <v>4.6927100000000001E-3</v>
      </c>
    </row>
    <row r="249" spans="1:7">
      <c r="A249" s="8" t="s">
        <v>52</v>
      </c>
      <c r="B249" s="4" t="s">
        <v>42</v>
      </c>
      <c r="C249" s="12">
        <v>33.740600000000001</v>
      </c>
      <c r="D249" s="28">
        <v>0.62763888899999998</v>
      </c>
      <c r="E249" s="19">
        <f t="shared" si="3"/>
        <v>33.740600000000001</v>
      </c>
      <c r="F249" s="19">
        <f>C249*'Model Inputs'!$B$20</f>
        <v>2.3618420000000002</v>
      </c>
      <c r="G249" s="31">
        <f>C249*'Model Inputs'!$B$21</f>
        <v>3.7114660000000001E-3</v>
      </c>
    </row>
    <row r="250" spans="1:7">
      <c r="A250" s="8" t="s">
        <v>52</v>
      </c>
      <c r="B250" s="4" t="s">
        <v>46</v>
      </c>
      <c r="C250" s="12">
        <v>25.7911</v>
      </c>
      <c r="D250" s="28">
        <v>0.52566666699999998</v>
      </c>
      <c r="E250" s="19">
        <f t="shared" si="3"/>
        <v>25.7911</v>
      </c>
      <c r="F250" s="19">
        <f>C250*'Model Inputs'!$B$20</f>
        <v>1.8053770000000002</v>
      </c>
      <c r="G250" s="31">
        <f>C250*'Model Inputs'!$B$21</f>
        <v>2.8370209999999999E-3</v>
      </c>
    </row>
    <row r="251" spans="1:7">
      <c r="A251" s="8" t="s">
        <v>52</v>
      </c>
      <c r="B251" s="4" t="s">
        <v>49</v>
      </c>
      <c r="C251" s="12">
        <v>40.443399999999997</v>
      </c>
      <c r="D251" s="28">
        <v>0.77200000000000002</v>
      </c>
      <c r="E251" s="19">
        <f t="shared" si="3"/>
        <v>40.443399999999997</v>
      </c>
      <c r="F251" s="19">
        <f>C251*'Model Inputs'!$B$20</f>
        <v>2.8310379999999999</v>
      </c>
      <c r="G251" s="31">
        <f>C251*'Model Inputs'!$B$21</f>
        <v>4.448774E-3</v>
      </c>
    </row>
    <row r="252" spans="1:7">
      <c r="A252" s="8" t="s">
        <v>52</v>
      </c>
      <c r="B252" s="4" t="s">
        <v>55</v>
      </c>
      <c r="C252" s="12">
        <v>10.9259</v>
      </c>
      <c r="D252" s="28">
        <v>0.33369444399999998</v>
      </c>
      <c r="E252" s="19">
        <f t="shared" si="3"/>
        <v>10.9259</v>
      </c>
      <c r="F252" s="19">
        <f>C252*'Model Inputs'!$B$20</f>
        <v>0.76481300000000008</v>
      </c>
      <c r="G252" s="31">
        <f>C252*'Model Inputs'!$B$21</f>
        <v>1.2018490000000001E-3</v>
      </c>
    </row>
    <row r="253" spans="1:7">
      <c r="A253" s="8" t="s">
        <v>52</v>
      </c>
      <c r="B253" s="4" t="s">
        <v>58</v>
      </c>
      <c r="C253" s="12">
        <v>7.5282</v>
      </c>
      <c r="D253" s="28">
        <v>0.17091666699999999</v>
      </c>
      <c r="E253" s="19">
        <f t="shared" si="3"/>
        <v>7.5282</v>
      </c>
      <c r="F253" s="19">
        <f>C253*'Model Inputs'!$B$20</f>
        <v>0.52697400000000005</v>
      </c>
      <c r="G253" s="31">
        <f>C253*'Model Inputs'!$B$21</f>
        <v>8.2810200000000005E-4</v>
      </c>
    </row>
    <row r="254" spans="1:7">
      <c r="A254" s="8" t="s">
        <v>52</v>
      </c>
      <c r="B254" s="4" t="s">
        <v>61</v>
      </c>
      <c r="C254" s="12">
        <v>27.532900000000001</v>
      </c>
      <c r="D254" s="28">
        <v>0.55886111100000002</v>
      </c>
      <c r="E254" s="19">
        <f t="shared" si="3"/>
        <v>27.532900000000001</v>
      </c>
      <c r="F254" s="19">
        <f>C254*'Model Inputs'!$B$20</f>
        <v>1.9273030000000002</v>
      </c>
      <c r="G254" s="31">
        <f>C254*'Model Inputs'!$B$21</f>
        <v>3.0286190000000002E-3</v>
      </c>
    </row>
    <row r="255" spans="1:7">
      <c r="A255" s="8" t="s">
        <v>52</v>
      </c>
      <c r="B255" s="4" t="s">
        <v>64</v>
      </c>
      <c r="C255" s="12">
        <v>27.833100000000002</v>
      </c>
      <c r="D255" s="28">
        <v>0.59308333300000005</v>
      </c>
      <c r="E255" s="19">
        <f t="shared" si="3"/>
        <v>27.833100000000002</v>
      </c>
      <c r="F255" s="19">
        <f>C255*'Model Inputs'!$B$20</f>
        <v>1.9483170000000003</v>
      </c>
      <c r="G255" s="31">
        <f>C255*'Model Inputs'!$B$21</f>
        <v>3.0616410000000004E-3</v>
      </c>
    </row>
    <row r="256" spans="1:7">
      <c r="A256" s="8" t="s">
        <v>52</v>
      </c>
      <c r="B256" s="4" t="s">
        <v>67</v>
      </c>
      <c r="C256" s="12">
        <v>17.495799999999999</v>
      </c>
      <c r="D256" s="28">
        <v>0.36213888900000002</v>
      </c>
      <c r="E256" s="19">
        <f t="shared" si="3"/>
        <v>17.495799999999999</v>
      </c>
      <c r="F256" s="19">
        <f>C256*'Model Inputs'!$B$20</f>
        <v>1.2247060000000001</v>
      </c>
      <c r="G256" s="31">
        <f>C256*'Model Inputs'!$B$21</f>
        <v>1.9245379999999999E-3</v>
      </c>
    </row>
    <row r="257" spans="1:7">
      <c r="A257" s="8" t="s">
        <v>52</v>
      </c>
      <c r="B257" s="4" t="s">
        <v>70</v>
      </c>
      <c r="C257" s="12">
        <v>15.6721</v>
      </c>
      <c r="D257" s="28">
        <v>0.38705555600000002</v>
      </c>
      <c r="E257" s="19">
        <f t="shared" si="3"/>
        <v>15.6721</v>
      </c>
      <c r="F257" s="19">
        <f>C257*'Model Inputs'!$B$20</f>
        <v>1.0970470000000001</v>
      </c>
      <c r="G257" s="31">
        <f>C257*'Model Inputs'!$B$21</f>
        <v>1.7239310000000002E-3</v>
      </c>
    </row>
    <row r="258" spans="1:7">
      <c r="A258" s="8" t="s">
        <v>52</v>
      </c>
      <c r="B258" s="4" t="s">
        <v>73</v>
      </c>
      <c r="C258" s="12">
        <v>18.9208</v>
      </c>
      <c r="D258" s="28">
        <v>0.47025</v>
      </c>
      <c r="E258" s="19">
        <f t="shared" ref="E258:E321" si="4">C258</f>
        <v>18.9208</v>
      </c>
      <c r="F258" s="19">
        <f>C258*'Model Inputs'!$B$20</f>
        <v>1.3244560000000001</v>
      </c>
      <c r="G258" s="31">
        <f>C258*'Model Inputs'!$B$21</f>
        <v>2.0812880000000001E-3</v>
      </c>
    </row>
    <row r="259" spans="1:7">
      <c r="A259" s="8" t="s">
        <v>52</v>
      </c>
      <c r="B259" s="4" t="s">
        <v>76</v>
      </c>
      <c r="C259" s="12">
        <v>29.894600000000001</v>
      </c>
      <c r="D259" s="28">
        <v>0.57144444400000005</v>
      </c>
      <c r="E259" s="19">
        <f t="shared" si="4"/>
        <v>29.894600000000001</v>
      </c>
      <c r="F259" s="19">
        <f>C259*'Model Inputs'!$B$20</f>
        <v>2.0926220000000004</v>
      </c>
      <c r="G259" s="31">
        <f>C259*'Model Inputs'!$B$21</f>
        <v>3.2884060000000002E-3</v>
      </c>
    </row>
    <row r="260" spans="1:7">
      <c r="A260" s="8" t="s">
        <v>52</v>
      </c>
      <c r="B260" s="4" t="s">
        <v>79</v>
      </c>
      <c r="C260" s="12">
        <v>24.8596</v>
      </c>
      <c r="D260" s="28">
        <v>0.54172222199999998</v>
      </c>
      <c r="E260" s="19">
        <f t="shared" si="4"/>
        <v>24.8596</v>
      </c>
      <c r="F260" s="19">
        <f>C260*'Model Inputs'!$B$20</f>
        <v>1.7401720000000003</v>
      </c>
      <c r="G260" s="31">
        <f>C260*'Model Inputs'!$B$21</f>
        <v>2.734556E-3</v>
      </c>
    </row>
    <row r="261" spans="1:7">
      <c r="A261" s="8" t="s">
        <v>52</v>
      </c>
      <c r="B261" s="4" t="s">
        <v>82</v>
      </c>
      <c r="C261" s="12">
        <v>33.607100000000003</v>
      </c>
      <c r="D261" s="28">
        <v>0.65866666699999998</v>
      </c>
      <c r="E261" s="19">
        <f t="shared" si="4"/>
        <v>33.607100000000003</v>
      </c>
      <c r="F261" s="19">
        <f>C261*'Model Inputs'!$B$20</f>
        <v>2.3524970000000005</v>
      </c>
      <c r="G261" s="31">
        <f>C261*'Model Inputs'!$B$21</f>
        <v>3.6967810000000005E-3</v>
      </c>
    </row>
    <row r="262" spans="1:7">
      <c r="A262" s="8" t="s">
        <v>52</v>
      </c>
      <c r="B262" s="4" t="s">
        <v>85</v>
      </c>
      <c r="C262" s="12">
        <v>24.192499999999999</v>
      </c>
      <c r="D262" s="28">
        <v>0.47936111100000001</v>
      </c>
      <c r="E262" s="19">
        <f t="shared" si="4"/>
        <v>24.192499999999999</v>
      </c>
      <c r="F262" s="19">
        <f>C262*'Model Inputs'!$B$20</f>
        <v>1.6934750000000001</v>
      </c>
      <c r="G262" s="31">
        <f>C262*'Model Inputs'!$B$21</f>
        <v>2.661175E-3</v>
      </c>
    </row>
    <row r="263" spans="1:7">
      <c r="A263" s="8" t="s">
        <v>52</v>
      </c>
      <c r="B263" s="4" t="s">
        <v>89</v>
      </c>
      <c r="C263" s="12">
        <v>5.3856000000000002</v>
      </c>
      <c r="D263" s="28">
        <v>0.16302777800000001</v>
      </c>
      <c r="E263" s="19">
        <f t="shared" si="4"/>
        <v>5.3856000000000002</v>
      </c>
      <c r="F263" s="19">
        <f>C263*'Model Inputs'!$B$20</f>
        <v>0.37699200000000005</v>
      </c>
      <c r="G263" s="31">
        <f>C263*'Model Inputs'!$B$21</f>
        <v>5.9241600000000001E-4</v>
      </c>
    </row>
    <row r="264" spans="1:7">
      <c r="A264" s="8" t="s">
        <v>52</v>
      </c>
      <c r="B264" s="4" t="s">
        <v>92</v>
      </c>
      <c r="C264" s="12">
        <v>21.337800000000001</v>
      </c>
      <c r="D264" s="28">
        <v>0.44869444400000003</v>
      </c>
      <c r="E264" s="19">
        <f t="shared" si="4"/>
        <v>21.337800000000001</v>
      </c>
      <c r="F264" s="19">
        <f>C264*'Model Inputs'!$B$20</f>
        <v>1.4936460000000003</v>
      </c>
      <c r="G264" s="31">
        <f>C264*'Model Inputs'!$B$21</f>
        <v>2.3471580000000002E-3</v>
      </c>
    </row>
    <row r="265" spans="1:7">
      <c r="A265" s="8" t="s">
        <v>52</v>
      </c>
      <c r="B265" s="4" t="s">
        <v>95</v>
      </c>
      <c r="C265" s="12">
        <v>5.1172000000000004</v>
      </c>
      <c r="D265" s="28">
        <v>0.13486111100000001</v>
      </c>
      <c r="E265" s="19">
        <f t="shared" si="4"/>
        <v>5.1172000000000004</v>
      </c>
      <c r="F265" s="19">
        <f>C265*'Model Inputs'!$B$20</f>
        <v>0.35820400000000008</v>
      </c>
      <c r="G265" s="31">
        <f>C265*'Model Inputs'!$B$21</f>
        <v>5.6289200000000006E-4</v>
      </c>
    </row>
    <row r="266" spans="1:7">
      <c r="A266" s="8" t="s">
        <v>55</v>
      </c>
      <c r="B266" s="4" t="s">
        <v>2</v>
      </c>
      <c r="C266" s="12">
        <v>9.2553999999999998</v>
      </c>
      <c r="D266" s="28">
        <v>0.25347222200000002</v>
      </c>
      <c r="E266" s="19">
        <f t="shared" si="4"/>
        <v>9.2553999999999998</v>
      </c>
      <c r="F266" s="19">
        <f>C266*'Model Inputs'!$B$20</f>
        <v>0.64787800000000006</v>
      </c>
      <c r="G266" s="31">
        <f>C266*'Model Inputs'!$B$21</f>
        <v>1.018094E-3</v>
      </c>
    </row>
    <row r="267" spans="1:7">
      <c r="A267" s="8" t="s">
        <v>55</v>
      </c>
      <c r="B267" s="4" t="s">
        <v>18</v>
      </c>
      <c r="C267" s="12">
        <v>17.284099999999999</v>
      </c>
      <c r="D267" s="28">
        <v>0.414583333</v>
      </c>
      <c r="E267" s="19">
        <f t="shared" si="4"/>
        <v>17.284099999999999</v>
      </c>
      <c r="F267" s="19">
        <f>C267*'Model Inputs'!$B$20</f>
        <v>1.2098869999999999</v>
      </c>
      <c r="G267" s="31">
        <f>C267*'Model Inputs'!$B$21</f>
        <v>1.9012509999999999E-3</v>
      </c>
    </row>
    <row r="268" spans="1:7">
      <c r="A268" s="8" t="s">
        <v>55</v>
      </c>
      <c r="B268" s="4" t="s">
        <v>23</v>
      </c>
      <c r="C268" s="12">
        <v>20.07</v>
      </c>
      <c r="D268" s="28">
        <v>0.45569444399999998</v>
      </c>
      <c r="E268" s="19">
        <f t="shared" si="4"/>
        <v>20.07</v>
      </c>
      <c r="F268" s="19">
        <f>C268*'Model Inputs'!$B$20</f>
        <v>1.4049000000000003</v>
      </c>
      <c r="G268" s="31">
        <f>C268*'Model Inputs'!$B$21</f>
        <v>2.2076999999999999E-3</v>
      </c>
    </row>
    <row r="269" spans="1:7">
      <c r="A269" s="8" t="s">
        <v>55</v>
      </c>
      <c r="B269" s="4" t="s">
        <v>27</v>
      </c>
      <c r="C269" s="12">
        <v>8.0280000000000005</v>
      </c>
      <c r="D269" s="28">
        <v>0.19380555599999999</v>
      </c>
      <c r="E269" s="19">
        <f t="shared" si="4"/>
        <v>8.0280000000000005</v>
      </c>
      <c r="F269" s="19">
        <f>C269*'Model Inputs'!$B$20</f>
        <v>0.56196000000000013</v>
      </c>
      <c r="G269" s="31">
        <f>C269*'Model Inputs'!$B$21</f>
        <v>8.8308000000000006E-4</v>
      </c>
    </row>
    <row r="270" spans="1:7">
      <c r="A270" s="8" t="s">
        <v>55</v>
      </c>
      <c r="B270" s="4" t="s">
        <v>31</v>
      </c>
      <c r="C270" s="12">
        <v>15.572900000000001</v>
      </c>
      <c r="D270" s="28">
        <v>0.30347222200000001</v>
      </c>
      <c r="E270" s="19">
        <f t="shared" si="4"/>
        <v>15.572900000000001</v>
      </c>
      <c r="F270" s="19">
        <f>C270*'Model Inputs'!$B$20</f>
        <v>1.090103</v>
      </c>
      <c r="G270" s="31">
        <f>C270*'Model Inputs'!$B$21</f>
        <v>1.7130190000000001E-3</v>
      </c>
    </row>
    <row r="271" spans="1:7">
      <c r="A271" s="8" t="s">
        <v>55</v>
      </c>
      <c r="B271" s="4" t="s">
        <v>35</v>
      </c>
      <c r="C271" s="12">
        <v>26.0107</v>
      </c>
      <c r="D271" s="28">
        <v>0.50149999999999995</v>
      </c>
      <c r="E271" s="19">
        <f t="shared" si="4"/>
        <v>26.0107</v>
      </c>
      <c r="F271" s="19">
        <f>C271*'Model Inputs'!$B$20</f>
        <v>1.8207490000000002</v>
      </c>
      <c r="G271" s="31">
        <f>C271*'Model Inputs'!$B$21</f>
        <v>2.8611769999999999E-3</v>
      </c>
    </row>
    <row r="272" spans="1:7">
      <c r="A272" s="8" t="s">
        <v>55</v>
      </c>
      <c r="B272" s="4" t="s">
        <v>38</v>
      </c>
      <c r="C272" s="12">
        <v>33.724400000000003</v>
      </c>
      <c r="D272" s="28">
        <v>0.56291666699999998</v>
      </c>
      <c r="E272" s="19">
        <f t="shared" si="4"/>
        <v>33.724400000000003</v>
      </c>
      <c r="F272" s="19">
        <f>C272*'Model Inputs'!$B$20</f>
        <v>2.3607080000000003</v>
      </c>
      <c r="G272" s="31">
        <f>C272*'Model Inputs'!$B$21</f>
        <v>3.7096840000000004E-3</v>
      </c>
    </row>
    <row r="273" spans="1:7">
      <c r="A273" s="8" t="s">
        <v>55</v>
      </c>
      <c r="B273" s="4" t="s">
        <v>42</v>
      </c>
      <c r="C273" s="12">
        <v>26.2226</v>
      </c>
      <c r="D273" s="28">
        <v>0.47816666699999999</v>
      </c>
      <c r="E273" s="19">
        <f t="shared" si="4"/>
        <v>26.2226</v>
      </c>
      <c r="F273" s="19">
        <f>C273*'Model Inputs'!$B$20</f>
        <v>1.8355820000000003</v>
      </c>
      <c r="G273" s="31">
        <f>C273*'Model Inputs'!$B$21</f>
        <v>2.8844859999999999E-3</v>
      </c>
    </row>
    <row r="274" spans="1:7">
      <c r="A274" s="8" t="s">
        <v>55</v>
      </c>
      <c r="B274" s="4" t="s">
        <v>46</v>
      </c>
      <c r="C274" s="12">
        <v>17.311699999999998</v>
      </c>
      <c r="D274" s="28">
        <v>0.31713888899999998</v>
      </c>
      <c r="E274" s="19">
        <f t="shared" si="4"/>
        <v>17.311699999999998</v>
      </c>
      <c r="F274" s="19">
        <f>C274*'Model Inputs'!$B$20</f>
        <v>1.211819</v>
      </c>
      <c r="G274" s="31">
        <f>C274*'Model Inputs'!$B$21</f>
        <v>1.904287E-3</v>
      </c>
    </row>
    <row r="275" spans="1:7">
      <c r="A275" s="8" t="s">
        <v>55</v>
      </c>
      <c r="B275" s="4" t="s">
        <v>49</v>
      </c>
      <c r="C275" s="12">
        <v>31.506699999999999</v>
      </c>
      <c r="D275" s="28">
        <v>0.54236111099999995</v>
      </c>
      <c r="E275" s="19">
        <f t="shared" si="4"/>
        <v>31.506699999999999</v>
      </c>
      <c r="F275" s="19">
        <f>C275*'Model Inputs'!$B$20</f>
        <v>2.2054689999999999</v>
      </c>
      <c r="G275" s="31">
        <f>C275*'Model Inputs'!$B$21</f>
        <v>3.465737E-3</v>
      </c>
    </row>
    <row r="276" spans="1:7">
      <c r="A276" s="8" t="s">
        <v>55</v>
      </c>
      <c r="B276" s="4" t="s">
        <v>52</v>
      </c>
      <c r="C276" s="12">
        <v>11.1654</v>
      </c>
      <c r="D276" s="28">
        <v>0.33650000000000002</v>
      </c>
      <c r="E276" s="19">
        <f t="shared" si="4"/>
        <v>11.1654</v>
      </c>
      <c r="F276" s="19">
        <f>C276*'Model Inputs'!$B$20</f>
        <v>0.78157800000000011</v>
      </c>
      <c r="G276" s="31">
        <f>C276*'Model Inputs'!$B$21</f>
        <v>1.2281939999999999E-3</v>
      </c>
    </row>
    <row r="277" spans="1:7">
      <c r="A277" s="8" t="s">
        <v>55</v>
      </c>
      <c r="B277" s="4" t="s">
        <v>58</v>
      </c>
      <c r="C277" s="12">
        <v>18.9941</v>
      </c>
      <c r="D277" s="28">
        <v>0.35116666699999999</v>
      </c>
      <c r="E277" s="19">
        <f t="shared" si="4"/>
        <v>18.9941</v>
      </c>
      <c r="F277" s="19">
        <f>C277*'Model Inputs'!$B$20</f>
        <v>1.3295870000000001</v>
      </c>
      <c r="G277" s="31">
        <f>C277*'Model Inputs'!$B$21</f>
        <v>2.0893510000000001E-3</v>
      </c>
    </row>
    <row r="278" spans="1:7">
      <c r="A278" s="8" t="s">
        <v>55</v>
      </c>
      <c r="B278" s="4" t="s">
        <v>61</v>
      </c>
      <c r="C278" s="12">
        <v>18.596299999999999</v>
      </c>
      <c r="D278" s="28">
        <v>0.32922222200000001</v>
      </c>
      <c r="E278" s="19">
        <f t="shared" si="4"/>
        <v>18.596299999999999</v>
      </c>
      <c r="F278" s="19">
        <f>C278*'Model Inputs'!$B$20</f>
        <v>1.301741</v>
      </c>
      <c r="G278" s="31">
        <f>C278*'Model Inputs'!$B$21</f>
        <v>2.0455930000000001E-3</v>
      </c>
    </row>
    <row r="279" spans="1:7">
      <c r="A279" s="8" t="s">
        <v>55</v>
      </c>
      <c r="B279" s="4" t="s">
        <v>64</v>
      </c>
      <c r="C279" s="12">
        <v>18.8965</v>
      </c>
      <c r="D279" s="28">
        <v>0.36344444399999998</v>
      </c>
      <c r="E279" s="19">
        <f t="shared" si="4"/>
        <v>18.8965</v>
      </c>
      <c r="F279" s="19">
        <f>C279*'Model Inputs'!$B$20</f>
        <v>1.3227550000000001</v>
      </c>
      <c r="G279" s="31">
        <f>C279*'Model Inputs'!$B$21</f>
        <v>2.0786150000000002E-3</v>
      </c>
    </row>
    <row r="280" spans="1:7">
      <c r="A280" s="8" t="s">
        <v>55</v>
      </c>
      <c r="B280" s="4" t="s">
        <v>67</v>
      </c>
      <c r="C280" s="12">
        <v>28.331600000000002</v>
      </c>
      <c r="D280" s="28">
        <v>0.57383333299999995</v>
      </c>
      <c r="E280" s="19">
        <f t="shared" si="4"/>
        <v>28.331600000000002</v>
      </c>
      <c r="F280" s="19">
        <f>C280*'Model Inputs'!$B$20</f>
        <v>1.9832120000000002</v>
      </c>
      <c r="G280" s="31">
        <f>C280*'Model Inputs'!$B$21</f>
        <v>3.1164760000000004E-3</v>
      </c>
    </row>
    <row r="281" spans="1:7">
      <c r="A281" s="8" t="s">
        <v>55</v>
      </c>
      <c r="B281" s="4" t="s">
        <v>70</v>
      </c>
      <c r="C281" s="12">
        <v>27.138000000000002</v>
      </c>
      <c r="D281" s="28">
        <v>0.56730555599999999</v>
      </c>
      <c r="E281" s="19">
        <f t="shared" si="4"/>
        <v>27.138000000000002</v>
      </c>
      <c r="F281" s="19">
        <f>C281*'Model Inputs'!$B$20</f>
        <v>1.8996600000000003</v>
      </c>
      <c r="G281" s="31">
        <f>C281*'Model Inputs'!$B$21</f>
        <v>2.9851800000000005E-3</v>
      </c>
    </row>
    <row r="282" spans="1:7">
      <c r="A282" s="8" t="s">
        <v>55</v>
      </c>
      <c r="B282" s="4" t="s">
        <v>73</v>
      </c>
      <c r="C282" s="12">
        <v>29.756599999999999</v>
      </c>
      <c r="D282" s="28">
        <v>0.68194444399999998</v>
      </c>
      <c r="E282" s="19">
        <f t="shared" si="4"/>
        <v>29.756599999999999</v>
      </c>
      <c r="F282" s="19">
        <f>C282*'Model Inputs'!$B$20</f>
        <v>2.0829620000000002</v>
      </c>
      <c r="G282" s="31">
        <f>C282*'Model Inputs'!$B$21</f>
        <v>3.2732260000000002E-3</v>
      </c>
    </row>
    <row r="283" spans="1:7">
      <c r="A283" s="8" t="s">
        <v>55</v>
      </c>
      <c r="B283" s="4" t="s">
        <v>76</v>
      </c>
      <c r="C283" s="12">
        <v>30.877500000000001</v>
      </c>
      <c r="D283" s="28">
        <v>0.59394444400000002</v>
      </c>
      <c r="E283" s="19">
        <f t="shared" si="4"/>
        <v>30.877500000000001</v>
      </c>
      <c r="F283" s="19">
        <f>C283*'Model Inputs'!$B$20</f>
        <v>2.1614250000000004</v>
      </c>
      <c r="G283" s="31">
        <f>C283*'Model Inputs'!$B$21</f>
        <v>3.3965250000000001E-3</v>
      </c>
    </row>
    <row r="284" spans="1:7">
      <c r="A284" s="8" t="s">
        <v>55</v>
      </c>
      <c r="B284" s="4" t="s">
        <v>79</v>
      </c>
      <c r="C284" s="12">
        <v>28.934899999999999</v>
      </c>
      <c r="D284" s="28">
        <v>0.688722222</v>
      </c>
      <c r="E284" s="19">
        <f t="shared" si="4"/>
        <v>28.934899999999999</v>
      </c>
      <c r="F284" s="19">
        <f>C284*'Model Inputs'!$B$20</f>
        <v>2.0254430000000001</v>
      </c>
      <c r="G284" s="31">
        <f>C284*'Model Inputs'!$B$21</f>
        <v>3.1828389999999998E-3</v>
      </c>
    </row>
    <row r="285" spans="1:7">
      <c r="A285" s="8" t="s">
        <v>55</v>
      </c>
      <c r="B285" s="4" t="s">
        <v>82</v>
      </c>
      <c r="C285" s="12">
        <v>35.990099999999998</v>
      </c>
      <c r="D285" s="28">
        <v>0.57899999999999996</v>
      </c>
      <c r="E285" s="19">
        <f t="shared" si="4"/>
        <v>35.990099999999998</v>
      </c>
      <c r="F285" s="19">
        <f>C285*'Model Inputs'!$B$20</f>
        <v>2.519307</v>
      </c>
      <c r="G285" s="31">
        <f>C285*'Model Inputs'!$B$21</f>
        <v>3.9589109999999999E-3</v>
      </c>
    </row>
    <row r="286" spans="1:7">
      <c r="A286" s="8" t="s">
        <v>55</v>
      </c>
      <c r="B286" s="4" t="s">
        <v>85</v>
      </c>
      <c r="C286" s="12">
        <v>13.921799999999999</v>
      </c>
      <c r="D286" s="28">
        <v>0.25402777799999998</v>
      </c>
      <c r="E286" s="19">
        <f t="shared" si="4"/>
        <v>13.921799999999999</v>
      </c>
      <c r="F286" s="19">
        <f>C286*'Model Inputs'!$B$20</f>
        <v>0.974526</v>
      </c>
      <c r="G286" s="31">
        <f>C286*'Model Inputs'!$B$21</f>
        <v>1.531398E-3</v>
      </c>
    </row>
    <row r="287" spans="1:7">
      <c r="A287" s="8" t="s">
        <v>55</v>
      </c>
      <c r="B287" s="4" t="s">
        <v>89</v>
      </c>
      <c r="C287" s="12">
        <v>16.225000000000001</v>
      </c>
      <c r="D287" s="28">
        <v>0.39938888900000002</v>
      </c>
      <c r="E287" s="19">
        <f t="shared" si="4"/>
        <v>16.225000000000001</v>
      </c>
      <c r="F287" s="19">
        <f>C287*'Model Inputs'!$B$20</f>
        <v>1.1357500000000003</v>
      </c>
      <c r="G287" s="31">
        <f>C287*'Model Inputs'!$B$21</f>
        <v>1.7847500000000003E-3</v>
      </c>
    </row>
    <row r="288" spans="1:7">
      <c r="A288" s="8" t="s">
        <v>55</v>
      </c>
      <c r="B288" s="4" t="s">
        <v>92</v>
      </c>
      <c r="C288" s="12">
        <v>18.992100000000001</v>
      </c>
      <c r="D288" s="28">
        <v>0.43974999999999997</v>
      </c>
      <c r="E288" s="19">
        <f t="shared" si="4"/>
        <v>18.992100000000001</v>
      </c>
      <c r="F288" s="19">
        <f>C288*'Model Inputs'!$B$20</f>
        <v>1.3294470000000003</v>
      </c>
      <c r="G288" s="31">
        <f>C288*'Model Inputs'!$B$21</f>
        <v>2.0891310000000001E-3</v>
      </c>
    </row>
    <row r="289" spans="1:7">
      <c r="A289" s="8" t="s">
        <v>55</v>
      </c>
      <c r="B289" s="4" t="s">
        <v>95</v>
      </c>
      <c r="C289" s="12">
        <v>16.9955</v>
      </c>
      <c r="D289" s="28">
        <v>0.31863888899999998</v>
      </c>
      <c r="E289" s="19">
        <f t="shared" si="4"/>
        <v>16.9955</v>
      </c>
      <c r="F289" s="19">
        <f>C289*'Model Inputs'!$B$20</f>
        <v>1.1896850000000001</v>
      </c>
      <c r="G289" s="31">
        <f>C289*'Model Inputs'!$B$21</f>
        <v>1.869505E-3</v>
      </c>
    </row>
    <row r="290" spans="1:7">
      <c r="A290" s="8" t="s">
        <v>58</v>
      </c>
      <c r="B290" s="4" t="s">
        <v>2</v>
      </c>
      <c r="C290" s="12">
        <v>16.026900000000001</v>
      </c>
      <c r="D290" s="28">
        <v>0.31630555599999999</v>
      </c>
      <c r="E290" s="19">
        <f t="shared" si="4"/>
        <v>16.026900000000001</v>
      </c>
      <c r="F290" s="19">
        <f>C290*'Model Inputs'!$B$20</f>
        <v>1.1218830000000002</v>
      </c>
      <c r="G290" s="31">
        <f>C290*'Model Inputs'!$B$21</f>
        <v>1.7629590000000001E-3</v>
      </c>
    </row>
    <row r="291" spans="1:7">
      <c r="A291" s="8" t="s">
        <v>58</v>
      </c>
      <c r="B291" s="4" t="s">
        <v>18</v>
      </c>
      <c r="C291" s="12">
        <v>17.767199999999999</v>
      </c>
      <c r="D291" s="28">
        <v>0.35830555600000003</v>
      </c>
      <c r="E291" s="19">
        <f t="shared" si="4"/>
        <v>17.767199999999999</v>
      </c>
      <c r="F291" s="19">
        <f>C291*'Model Inputs'!$B$20</f>
        <v>1.2437040000000001</v>
      </c>
      <c r="G291" s="31">
        <f>C291*'Model Inputs'!$B$21</f>
        <v>1.9543920000000001E-3</v>
      </c>
    </row>
    <row r="292" spans="1:7">
      <c r="A292" s="8" t="s">
        <v>58</v>
      </c>
      <c r="B292" s="4" t="s">
        <v>23</v>
      </c>
      <c r="C292" s="12">
        <v>24.235499999999998</v>
      </c>
      <c r="D292" s="28">
        <v>0.49513888900000003</v>
      </c>
      <c r="E292" s="19">
        <f t="shared" si="4"/>
        <v>24.235499999999998</v>
      </c>
      <c r="F292" s="19">
        <f>C292*'Model Inputs'!$B$20</f>
        <v>1.696485</v>
      </c>
      <c r="G292" s="31">
        <f>C292*'Model Inputs'!$B$21</f>
        <v>2.6659050000000001E-3</v>
      </c>
    </row>
    <row r="293" spans="1:7">
      <c r="A293" s="8" t="s">
        <v>58</v>
      </c>
      <c r="B293" s="4" t="s">
        <v>27</v>
      </c>
      <c r="C293" s="12">
        <v>23.910599999999999</v>
      </c>
      <c r="D293" s="28">
        <v>0.38305555600000002</v>
      </c>
      <c r="E293" s="19">
        <f t="shared" si="4"/>
        <v>23.910599999999999</v>
      </c>
      <c r="F293" s="19">
        <f>C293*'Model Inputs'!$B$20</f>
        <v>1.6737420000000001</v>
      </c>
      <c r="G293" s="31">
        <f>C293*'Model Inputs'!$B$21</f>
        <v>2.6301659999999998E-3</v>
      </c>
    </row>
    <row r="294" spans="1:7">
      <c r="A294" s="8" t="s">
        <v>58</v>
      </c>
      <c r="B294" s="4" t="s">
        <v>31</v>
      </c>
      <c r="C294" s="12">
        <v>31.455500000000001</v>
      </c>
      <c r="D294" s="28">
        <v>0.49272222199999999</v>
      </c>
      <c r="E294" s="19">
        <f t="shared" si="4"/>
        <v>31.455500000000001</v>
      </c>
      <c r="F294" s="19">
        <f>C294*'Model Inputs'!$B$20</f>
        <v>2.2018850000000003</v>
      </c>
      <c r="G294" s="31">
        <f>C294*'Model Inputs'!$B$21</f>
        <v>3.4601050000000002E-3</v>
      </c>
    </row>
    <row r="295" spans="1:7">
      <c r="A295" s="8" t="s">
        <v>58</v>
      </c>
      <c r="B295" s="4" t="s">
        <v>35</v>
      </c>
      <c r="C295" s="12">
        <v>34.250799999999998</v>
      </c>
      <c r="D295" s="28">
        <v>0.62911111099999995</v>
      </c>
      <c r="E295" s="19">
        <f t="shared" si="4"/>
        <v>34.250799999999998</v>
      </c>
      <c r="F295" s="19">
        <f>C295*'Model Inputs'!$B$20</f>
        <v>2.3975560000000002</v>
      </c>
      <c r="G295" s="31">
        <f>C295*'Model Inputs'!$B$21</f>
        <v>3.7675880000000001E-3</v>
      </c>
    </row>
    <row r="296" spans="1:7">
      <c r="A296" s="8" t="s">
        <v>58</v>
      </c>
      <c r="B296" s="4" t="s">
        <v>38</v>
      </c>
      <c r="C296" s="12">
        <v>49.606999999999999</v>
      </c>
      <c r="D296" s="28">
        <v>0.75216666700000001</v>
      </c>
      <c r="E296" s="19">
        <f t="shared" si="4"/>
        <v>49.606999999999999</v>
      </c>
      <c r="F296" s="19">
        <f>C296*'Model Inputs'!$B$20</f>
        <v>3.4724900000000001</v>
      </c>
      <c r="G296" s="31">
        <f>C296*'Model Inputs'!$B$21</f>
        <v>5.4567700000000005E-3</v>
      </c>
    </row>
    <row r="297" spans="1:7">
      <c r="A297" s="8" t="s">
        <v>58</v>
      </c>
      <c r="B297" s="4" t="s">
        <v>42</v>
      </c>
      <c r="C297" s="12">
        <v>42.105200000000004</v>
      </c>
      <c r="D297" s="28">
        <v>0.66741666700000002</v>
      </c>
      <c r="E297" s="19">
        <f t="shared" si="4"/>
        <v>42.105200000000004</v>
      </c>
      <c r="F297" s="19">
        <f>C297*'Model Inputs'!$B$20</f>
        <v>2.9473640000000003</v>
      </c>
      <c r="G297" s="31">
        <f>C297*'Model Inputs'!$B$21</f>
        <v>4.6315720000000005E-3</v>
      </c>
    </row>
    <row r="298" spans="1:7">
      <c r="A298" s="8" t="s">
        <v>58</v>
      </c>
      <c r="B298" s="4" t="s">
        <v>46</v>
      </c>
      <c r="C298" s="12">
        <v>33.194299999999998</v>
      </c>
      <c r="D298" s="28">
        <v>0.50638888900000001</v>
      </c>
      <c r="E298" s="19">
        <f t="shared" si="4"/>
        <v>33.194299999999998</v>
      </c>
      <c r="F298" s="19">
        <f>C298*'Model Inputs'!$B$20</f>
        <v>2.323601</v>
      </c>
      <c r="G298" s="31">
        <f>C298*'Model Inputs'!$B$21</f>
        <v>3.6513729999999999E-3</v>
      </c>
    </row>
    <row r="299" spans="1:7">
      <c r="A299" s="8" t="s">
        <v>58</v>
      </c>
      <c r="B299" s="4" t="s">
        <v>49</v>
      </c>
      <c r="C299" s="12">
        <v>47.389299999999999</v>
      </c>
      <c r="D299" s="28">
        <v>0.73161111099999998</v>
      </c>
      <c r="E299" s="19">
        <f t="shared" si="4"/>
        <v>47.389299999999999</v>
      </c>
      <c r="F299" s="19">
        <f>C299*'Model Inputs'!$B$20</f>
        <v>3.3172510000000002</v>
      </c>
      <c r="G299" s="31">
        <f>C299*'Model Inputs'!$B$21</f>
        <v>5.2128230000000001E-3</v>
      </c>
    </row>
    <row r="300" spans="1:7">
      <c r="A300" s="8" t="s">
        <v>58</v>
      </c>
      <c r="B300" s="4" t="s">
        <v>52</v>
      </c>
      <c r="C300" s="12">
        <v>8.5657999999999994</v>
      </c>
      <c r="D300" s="28">
        <v>0.193972222</v>
      </c>
      <c r="E300" s="19">
        <f t="shared" si="4"/>
        <v>8.5657999999999994</v>
      </c>
      <c r="F300" s="19">
        <f>C300*'Model Inputs'!$B$20</f>
        <v>0.59960599999999997</v>
      </c>
      <c r="G300" s="31">
        <f>C300*'Model Inputs'!$B$21</f>
        <v>9.4223799999999997E-4</v>
      </c>
    </row>
    <row r="301" spans="1:7">
      <c r="A301" s="8" t="s">
        <v>58</v>
      </c>
      <c r="B301" s="4" t="s">
        <v>55</v>
      </c>
      <c r="C301" s="12">
        <v>18.275500000000001</v>
      </c>
      <c r="D301" s="28">
        <v>0.30866666700000001</v>
      </c>
      <c r="E301" s="19">
        <f t="shared" si="4"/>
        <v>18.275500000000001</v>
      </c>
      <c r="F301" s="19">
        <f>C301*'Model Inputs'!$B$20</f>
        <v>1.2792850000000002</v>
      </c>
      <c r="G301" s="31">
        <f>C301*'Model Inputs'!$B$21</f>
        <v>2.010305E-3</v>
      </c>
    </row>
    <row r="302" spans="1:7">
      <c r="A302" s="8" t="s">
        <v>58</v>
      </c>
      <c r="B302" s="4" t="s">
        <v>61</v>
      </c>
      <c r="C302" s="12">
        <v>34.478900000000003</v>
      </c>
      <c r="D302" s="28">
        <v>0.51847222199999998</v>
      </c>
      <c r="E302" s="19">
        <f t="shared" si="4"/>
        <v>34.478900000000003</v>
      </c>
      <c r="F302" s="19">
        <f>C302*'Model Inputs'!$B$20</f>
        <v>2.4135230000000005</v>
      </c>
      <c r="G302" s="31">
        <f>C302*'Model Inputs'!$B$21</f>
        <v>3.7926790000000006E-3</v>
      </c>
    </row>
    <row r="303" spans="1:7">
      <c r="A303" s="8" t="s">
        <v>58</v>
      </c>
      <c r="B303" s="4" t="s">
        <v>64</v>
      </c>
      <c r="C303" s="12">
        <v>34.7791</v>
      </c>
      <c r="D303" s="28">
        <v>0.55269444400000001</v>
      </c>
      <c r="E303" s="19">
        <f t="shared" si="4"/>
        <v>34.7791</v>
      </c>
      <c r="F303" s="19">
        <f>C303*'Model Inputs'!$B$20</f>
        <v>2.4345370000000002</v>
      </c>
      <c r="G303" s="31">
        <f>C303*'Model Inputs'!$B$21</f>
        <v>3.8257009999999999E-3</v>
      </c>
    </row>
    <row r="304" spans="1:7">
      <c r="A304" s="8" t="s">
        <v>58</v>
      </c>
      <c r="B304" s="4" t="s">
        <v>67</v>
      </c>
      <c r="C304" s="12">
        <v>19.288399999999999</v>
      </c>
      <c r="D304" s="28">
        <v>0.38772222200000001</v>
      </c>
      <c r="E304" s="19">
        <f t="shared" si="4"/>
        <v>19.288399999999999</v>
      </c>
      <c r="F304" s="19">
        <f>C304*'Model Inputs'!$B$20</f>
        <v>1.3501880000000002</v>
      </c>
      <c r="G304" s="31">
        <f>C304*'Model Inputs'!$B$21</f>
        <v>2.1217240000000002E-3</v>
      </c>
    </row>
    <row r="305" spans="1:7">
      <c r="A305" s="8" t="s">
        <v>58</v>
      </c>
      <c r="B305" s="4" t="s">
        <v>70</v>
      </c>
      <c r="C305" s="12">
        <v>8.1706000000000003</v>
      </c>
      <c r="D305" s="28">
        <v>0.23005555599999999</v>
      </c>
      <c r="E305" s="19">
        <f t="shared" si="4"/>
        <v>8.1706000000000003</v>
      </c>
      <c r="F305" s="19">
        <f>C305*'Model Inputs'!$B$20</f>
        <v>0.57194200000000006</v>
      </c>
      <c r="G305" s="31">
        <f>C305*'Model Inputs'!$B$21</f>
        <v>8.9876600000000006E-4</v>
      </c>
    </row>
    <row r="306" spans="1:7">
      <c r="A306" s="8" t="s">
        <v>58</v>
      </c>
      <c r="B306" s="4" t="s">
        <v>73</v>
      </c>
      <c r="C306" s="12">
        <v>20.780200000000001</v>
      </c>
      <c r="D306" s="28">
        <v>0.397416667</v>
      </c>
      <c r="E306" s="19">
        <f t="shared" si="4"/>
        <v>20.780200000000001</v>
      </c>
      <c r="F306" s="19">
        <f>C306*'Model Inputs'!$B$20</f>
        <v>1.4546140000000003</v>
      </c>
      <c r="G306" s="31">
        <f>C306*'Model Inputs'!$B$21</f>
        <v>2.2858220000000003E-3</v>
      </c>
    </row>
    <row r="307" spans="1:7">
      <c r="A307" s="8" t="s">
        <v>58</v>
      </c>
      <c r="B307" s="4" t="s">
        <v>76</v>
      </c>
      <c r="C307" s="12">
        <v>39.465899999999998</v>
      </c>
      <c r="D307" s="28">
        <v>0.59511111100000003</v>
      </c>
      <c r="E307" s="19">
        <f t="shared" si="4"/>
        <v>39.465899999999998</v>
      </c>
      <c r="F307" s="19">
        <f>C307*'Model Inputs'!$B$20</f>
        <v>2.762613</v>
      </c>
      <c r="G307" s="31">
        <f>C307*'Model Inputs'!$B$21</f>
        <v>4.3412490000000001E-3</v>
      </c>
    </row>
    <row r="308" spans="1:7">
      <c r="A308" s="8" t="s">
        <v>58</v>
      </c>
      <c r="B308" s="4" t="s">
        <v>79</v>
      </c>
      <c r="C308" s="12">
        <v>34.430799999999998</v>
      </c>
      <c r="D308" s="28">
        <v>0.56538888899999995</v>
      </c>
      <c r="E308" s="19">
        <f t="shared" si="4"/>
        <v>34.430799999999998</v>
      </c>
      <c r="F308" s="19">
        <f>C308*'Model Inputs'!$B$20</f>
        <v>2.4101560000000002</v>
      </c>
      <c r="G308" s="31">
        <f>C308*'Model Inputs'!$B$21</f>
        <v>3.787388E-3</v>
      </c>
    </row>
    <row r="309" spans="1:7">
      <c r="A309" s="8" t="s">
        <v>58</v>
      </c>
      <c r="B309" s="4" t="s">
        <v>82</v>
      </c>
      <c r="C309" s="12">
        <v>37.653300000000002</v>
      </c>
      <c r="D309" s="28">
        <v>0.71302777799999995</v>
      </c>
      <c r="E309" s="19">
        <f t="shared" si="4"/>
        <v>37.653300000000002</v>
      </c>
      <c r="F309" s="19">
        <f>C309*'Model Inputs'!$B$20</f>
        <v>2.6357310000000003</v>
      </c>
      <c r="G309" s="31">
        <f>C309*'Model Inputs'!$B$21</f>
        <v>4.141863E-3</v>
      </c>
    </row>
    <row r="310" spans="1:7">
      <c r="A310" s="8" t="s">
        <v>58</v>
      </c>
      <c r="B310" s="4" t="s">
        <v>85</v>
      </c>
      <c r="C310" s="12">
        <v>29.804400000000001</v>
      </c>
      <c r="D310" s="28">
        <v>0.44327777800000001</v>
      </c>
      <c r="E310" s="19">
        <f t="shared" si="4"/>
        <v>29.804400000000001</v>
      </c>
      <c r="F310" s="19">
        <f>C310*'Model Inputs'!$B$20</f>
        <v>2.0863080000000003</v>
      </c>
      <c r="G310" s="31">
        <f>C310*'Model Inputs'!$B$21</f>
        <v>3.2784840000000003E-3</v>
      </c>
    </row>
    <row r="311" spans="1:7">
      <c r="A311" s="8" t="s">
        <v>58</v>
      </c>
      <c r="B311" s="4" t="s">
        <v>89</v>
      </c>
      <c r="C311" s="12">
        <v>10.8032</v>
      </c>
      <c r="D311" s="28">
        <v>0.22519444399999999</v>
      </c>
      <c r="E311" s="19">
        <f t="shared" si="4"/>
        <v>10.8032</v>
      </c>
      <c r="F311" s="19">
        <f>C311*'Model Inputs'!$B$20</f>
        <v>0.75622400000000012</v>
      </c>
      <c r="G311" s="31">
        <f>C311*'Model Inputs'!$B$21</f>
        <v>1.1883520000000002E-3</v>
      </c>
    </row>
    <row r="312" spans="1:7">
      <c r="A312" s="8" t="s">
        <v>58</v>
      </c>
      <c r="B312" s="4" t="s">
        <v>92</v>
      </c>
      <c r="C312" s="12">
        <v>25.384</v>
      </c>
      <c r="D312" s="28">
        <v>0.50305555599999996</v>
      </c>
      <c r="E312" s="19">
        <f t="shared" si="4"/>
        <v>25.384</v>
      </c>
      <c r="F312" s="19">
        <f>C312*'Model Inputs'!$B$20</f>
        <v>1.7768800000000002</v>
      </c>
      <c r="G312" s="31">
        <f>C312*'Model Inputs'!$B$21</f>
        <v>2.7922400000000001E-3</v>
      </c>
    </row>
    <row r="313" spans="1:7">
      <c r="A313" s="8" t="s">
        <v>58</v>
      </c>
      <c r="B313" s="4" t="s">
        <v>95</v>
      </c>
      <c r="C313" s="12">
        <v>4.4097</v>
      </c>
      <c r="D313" s="28">
        <v>0.100666667</v>
      </c>
      <c r="E313" s="19">
        <f t="shared" si="4"/>
        <v>4.4097</v>
      </c>
      <c r="F313" s="19">
        <f>C313*'Model Inputs'!$B$20</f>
        <v>0.30867900000000004</v>
      </c>
      <c r="G313" s="31">
        <f>C313*'Model Inputs'!$B$21</f>
        <v>4.85067E-4</v>
      </c>
    </row>
    <row r="314" spans="1:7">
      <c r="A314" s="8" t="s">
        <v>61</v>
      </c>
      <c r="B314" s="4" t="s">
        <v>2</v>
      </c>
      <c r="C314" s="12">
        <v>20.309899999999999</v>
      </c>
      <c r="D314" s="28">
        <v>0.38500000000000001</v>
      </c>
      <c r="E314" s="19">
        <f t="shared" si="4"/>
        <v>20.309899999999999</v>
      </c>
      <c r="F314" s="19">
        <f>C314*'Model Inputs'!$B$20</f>
        <v>1.4216930000000001</v>
      </c>
      <c r="G314" s="31">
        <f>C314*'Model Inputs'!$B$21</f>
        <v>2.2340889999999999E-3</v>
      </c>
    </row>
    <row r="315" spans="1:7">
      <c r="A315" s="8" t="s">
        <v>61</v>
      </c>
      <c r="B315" s="4" t="s">
        <v>18</v>
      </c>
      <c r="C315" s="12">
        <v>22.549299999999999</v>
      </c>
      <c r="D315" s="28">
        <v>0.49761111099999999</v>
      </c>
      <c r="E315" s="19">
        <f t="shared" si="4"/>
        <v>22.549299999999999</v>
      </c>
      <c r="F315" s="19">
        <f>C315*'Model Inputs'!$B$20</f>
        <v>1.578451</v>
      </c>
      <c r="G315" s="31">
        <f>C315*'Model Inputs'!$B$21</f>
        <v>2.4804229999999998E-3</v>
      </c>
    </row>
    <row r="316" spans="1:7">
      <c r="A316" s="8" t="s">
        <v>61</v>
      </c>
      <c r="B316" s="4" t="s">
        <v>23</v>
      </c>
      <c r="C316" s="12">
        <v>18.5229</v>
      </c>
      <c r="D316" s="28">
        <v>0.39927777800000003</v>
      </c>
      <c r="E316" s="19">
        <f t="shared" si="4"/>
        <v>18.5229</v>
      </c>
      <c r="F316" s="19">
        <f>C316*'Model Inputs'!$B$20</f>
        <v>1.2966030000000002</v>
      </c>
      <c r="G316" s="31">
        <f>C316*'Model Inputs'!$B$21</f>
        <v>2.0375190000000002E-3</v>
      </c>
    </row>
    <row r="317" spans="1:7">
      <c r="A317" s="8" t="s">
        <v>61</v>
      </c>
      <c r="B317" s="4" t="s">
        <v>27</v>
      </c>
      <c r="C317" s="12">
        <v>12.473599999999999</v>
      </c>
      <c r="D317" s="28">
        <v>0.26736111099999998</v>
      </c>
      <c r="E317" s="19">
        <f t="shared" si="4"/>
        <v>12.473599999999999</v>
      </c>
      <c r="F317" s="19">
        <f>C317*'Model Inputs'!$B$20</f>
        <v>0.87315200000000004</v>
      </c>
      <c r="G317" s="31">
        <f>C317*'Model Inputs'!$B$21</f>
        <v>1.3720959999999999E-3</v>
      </c>
    </row>
    <row r="318" spans="1:7">
      <c r="A318" s="8" t="s">
        <v>61</v>
      </c>
      <c r="B318" s="4" t="s">
        <v>31</v>
      </c>
      <c r="C318" s="12">
        <v>12.349299999999999</v>
      </c>
      <c r="D318" s="28">
        <v>0.241916667</v>
      </c>
      <c r="E318" s="19">
        <f t="shared" si="4"/>
        <v>12.349299999999999</v>
      </c>
      <c r="F318" s="19">
        <f>C318*'Model Inputs'!$B$20</f>
        <v>0.86445100000000008</v>
      </c>
      <c r="G318" s="31">
        <f>C318*'Model Inputs'!$B$21</f>
        <v>1.3584230000000001E-3</v>
      </c>
    </row>
    <row r="319" spans="1:7">
      <c r="A319" s="8" t="s">
        <v>61</v>
      </c>
      <c r="B319" s="4" t="s">
        <v>35</v>
      </c>
      <c r="C319" s="12">
        <v>10.912800000000001</v>
      </c>
      <c r="D319" s="28">
        <v>0.221722222</v>
      </c>
      <c r="E319" s="19">
        <f t="shared" si="4"/>
        <v>10.912800000000001</v>
      </c>
      <c r="F319" s="19">
        <f>C319*'Model Inputs'!$B$20</f>
        <v>0.76389600000000013</v>
      </c>
      <c r="G319" s="31">
        <f>C319*'Model Inputs'!$B$21</f>
        <v>1.200408E-3</v>
      </c>
    </row>
    <row r="320" spans="1:7">
      <c r="A320" s="8" t="s">
        <v>61</v>
      </c>
      <c r="B320" s="4" t="s">
        <v>38</v>
      </c>
      <c r="C320" s="12">
        <v>33.298900000000003</v>
      </c>
      <c r="D320" s="28">
        <v>0.49766666700000001</v>
      </c>
      <c r="E320" s="19">
        <f t="shared" si="4"/>
        <v>33.298900000000003</v>
      </c>
      <c r="F320" s="19">
        <f>C320*'Model Inputs'!$B$20</f>
        <v>2.3309230000000003</v>
      </c>
      <c r="G320" s="31">
        <f>C320*'Model Inputs'!$B$21</f>
        <v>3.6628790000000004E-3</v>
      </c>
    </row>
    <row r="321" spans="1:7">
      <c r="A321" s="8" t="s">
        <v>61</v>
      </c>
      <c r="B321" s="4" t="s">
        <v>42</v>
      </c>
      <c r="C321" s="12">
        <v>9.0724</v>
      </c>
      <c r="D321" s="28">
        <v>0.18430555600000001</v>
      </c>
      <c r="E321" s="19">
        <f t="shared" si="4"/>
        <v>9.0724</v>
      </c>
      <c r="F321" s="19">
        <f>C321*'Model Inputs'!$B$20</f>
        <v>0.63506800000000008</v>
      </c>
      <c r="G321" s="31">
        <f>C321*'Model Inputs'!$B$21</f>
        <v>9.9796400000000006E-4</v>
      </c>
    </row>
    <row r="322" spans="1:7">
      <c r="A322" s="8" t="s">
        <v>61</v>
      </c>
      <c r="B322" s="4" t="s">
        <v>46</v>
      </c>
      <c r="C322" s="12">
        <v>6.9652000000000003</v>
      </c>
      <c r="D322" s="28">
        <v>0.17844444400000001</v>
      </c>
      <c r="E322" s="19">
        <f t="shared" ref="E322:E385" si="5">C322</f>
        <v>6.9652000000000003</v>
      </c>
      <c r="F322" s="19">
        <f>C322*'Model Inputs'!$B$20</f>
        <v>0.48756400000000005</v>
      </c>
      <c r="G322" s="31">
        <f>C322*'Model Inputs'!$B$21</f>
        <v>7.6617200000000008E-4</v>
      </c>
    </row>
    <row r="323" spans="1:7">
      <c r="A323" s="8" t="s">
        <v>61</v>
      </c>
      <c r="B323" s="4" t="s">
        <v>49</v>
      </c>
      <c r="C323" s="12">
        <v>28.530999999999999</v>
      </c>
      <c r="D323" s="28">
        <v>0.476861111</v>
      </c>
      <c r="E323" s="19">
        <f t="shared" si="5"/>
        <v>28.530999999999999</v>
      </c>
      <c r="F323" s="19">
        <f>C323*'Model Inputs'!$B$20</f>
        <v>1.9971700000000001</v>
      </c>
      <c r="G323" s="31">
        <f>C323*'Model Inputs'!$B$21</f>
        <v>3.1384099999999999E-3</v>
      </c>
    </row>
    <row r="324" spans="1:7">
      <c r="A324" s="8" t="s">
        <v>61</v>
      </c>
      <c r="B324" s="4" t="s">
        <v>52</v>
      </c>
      <c r="C324" s="12">
        <v>26.981400000000001</v>
      </c>
      <c r="D324" s="28">
        <v>0.53783333300000002</v>
      </c>
      <c r="E324" s="19">
        <f t="shared" si="5"/>
        <v>26.981400000000001</v>
      </c>
      <c r="F324" s="19">
        <f>C324*'Model Inputs'!$B$20</f>
        <v>1.8886980000000002</v>
      </c>
      <c r="G324" s="31">
        <f>C324*'Model Inputs'!$B$21</f>
        <v>2.9679540000000001E-3</v>
      </c>
    </row>
    <row r="325" spans="1:7">
      <c r="A325" s="8" t="s">
        <v>61</v>
      </c>
      <c r="B325" s="4" t="s">
        <v>55</v>
      </c>
      <c r="C325" s="12">
        <v>18.288699999999999</v>
      </c>
      <c r="D325" s="28">
        <v>0.32461111100000001</v>
      </c>
      <c r="E325" s="19">
        <f t="shared" si="5"/>
        <v>18.288699999999999</v>
      </c>
      <c r="F325" s="19">
        <f>C325*'Model Inputs'!$B$20</f>
        <v>1.2802089999999999</v>
      </c>
      <c r="G325" s="31">
        <f>C325*'Model Inputs'!$B$21</f>
        <v>2.0117569999999999E-3</v>
      </c>
    </row>
    <row r="326" spans="1:7">
      <c r="A326" s="8" t="s">
        <v>61</v>
      </c>
      <c r="B326" s="4" t="s">
        <v>58</v>
      </c>
      <c r="C326" s="12">
        <v>33.370699999999999</v>
      </c>
      <c r="D326" s="28">
        <v>0.50383333299999999</v>
      </c>
      <c r="E326" s="19">
        <f t="shared" si="5"/>
        <v>33.370699999999999</v>
      </c>
      <c r="F326" s="19">
        <f>C326*'Model Inputs'!$B$20</f>
        <v>2.3359490000000003</v>
      </c>
      <c r="G326" s="31">
        <f>C326*'Model Inputs'!$B$21</f>
        <v>3.6707770000000001E-3</v>
      </c>
    </row>
    <row r="327" spans="1:7">
      <c r="A327" s="8" t="s">
        <v>61</v>
      </c>
      <c r="B327" s="4" t="s">
        <v>64</v>
      </c>
      <c r="C327" s="12">
        <v>18.471</v>
      </c>
      <c r="D327" s="28">
        <v>0.298194444</v>
      </c>
      <c r="E327" s="19">
        <f t="shared" si="5"/>
        <v>18.471</v>
      </c>
      <c r="F327" s="19">
        <f>C327*'Model Inputs'!$B$20</f>
        <v>1.2929700000000002</v>
      </c>
      <c r="G327" s="31">
        <f>C327*'Model Inputs'!$B$21</f>
        <v>2.0318100000000002E-3</v>
      </c>
    </row>
    <row r="328" spans="1:7">
      <c r="A328" s="8" t="s">
        <v>61</v>
      </c>
      <c r="B328" s="4" t="s">
        <v>67</v>
      </c>
      <c r="C328" s="12">
        <v>30.683800000000002</v>
      </c>
      <c r="D328" s="28">
        <v>0.51</v>
      </c>
      <c r="E328" s="19">
        <f t="shared" si="5"/>
        <v>30.683800000000002</v>
      </c>
      <c r="F328" s="19">
        <f>C328*'Model Inputs'!$B$20</f>
        <v>2.1478660000000005</v>
      </c>
      <c r="G328" s="31">
        <f>C328*'Model Inputs'!$B$21</f>
        <v>3.3752180000000001E-3</v>
      </c>
    </row>
    <row r="329" spans="1:7">
      <c r="A329" s="8" t="s">
        <v>61</v>
      </c>
      <c r="B329" s="4" t="s">
        <v>70</v>
      </c>
      <c r="C329" s="12">
        <v>41.514699999999998</v>
      </c>
      <c r="D329" s="28">
        <v>0.719972222</v>
      </c>
      <c r="E329" s="19">
        <f t="shared" si="5"/>
        <v>41.514699999999998</v>
      </c>
      <c r="F329" s="19">
        <f>C329*'Model Inputs'!$B$20</f>
        <v>2.9060290000000002</v>
      </c>
      <c r="G329" s="31">
        <f>C329*'Model Inputs'!$B$21</f>
        <v>4.5666170000000002E-3</v>
      </c>
    </row>
    <row r="330" spans="1:7">
      <c r="A330" s="8" t="s">
        <v>61</v>
      </c>
      <c r="B330" s="4" t="s">
        <v>73</v>
      </c>
      <c r="C330" s="12">
        <v>39.130200000000002</v>
      </c>
      <c r="D330" s="28">
        <v>0.68316666699999995</v>
      </c>
      <c r="E330" s="19">
        <f t="shared" si="5"/>
        <v>39.130200000000002</v>
      </c>
      <c r="F330" s="19">
        <f>C330*'Model Inputs'!$B$20</f>
        <v>2.7391140000000003</v>
      </c>
      <c r="G330" s="31">
        <f>C330*'Model Inputs'!$B$21</f>
        <v>4.3043220000000002E-3</v>
      </c>
    </row>
    <row r="331" spans="1:7">
      <c r="A331" s="8" t="s">
        <v>61</v>
      </c>
      <c r="B331" s="4" t="s">
        <v>76</v>
      </c>
      <c r="C331" s="12">
        <v>21.3919</v>
      </c>
      <c r="D331" s="28">
        <v>0.36636111100000002</v>
      </c>
      <c r="E331" s="19">
        <f t="shared" si="5"/>
        <v>21.3919</v>
      </c>
      <c r="F331" s="19">
        <f>C331*'Model Inputs'!$B$20</f>
        <v>1.497433</v>
      </c>
      <c r="G331" s="31">
        <f>C331*'Model Inputs'!$B$21</f>
        <v>2.3531089999999999E-3</v>
      </c>
    </row>
    <row r="332" spans="1:7">
      <c r="A332" s="8" t="s">
        <v>61</v>
      </c>
      <c r="B332" s="4" t="s">
        <v>79</v>
      </c>
      <c r="C332" s="12">
        <v>26.557099999999998</v>
      </c>
      <c r="D332" s="28">
        <v>0.54961111100000004</v>
      </c>
      <c r="E332" s="19">
        <f t="shared" si="5"/>
        <v>26.557099999999998</v>
      </c>
      <c r="F332" s="19">
        <f>C332*'Model Inputs'!$B$20</f>
        <v>1.858997</v>
      </c>
      <c r="G332" s="31">
        <f>C332*'Model Inputs'!$B$21</f>
        <v>2.921281E-3</v>
      </c>
    </row>
    <row r="333" spans="1:7">
      <c r="A333" s="8" t="s">
        <v>61</v>
      </c>
      <c r="B333" s="4" t="s">
        <v>82</v>
      </c>
      <c r="C333" s="12">
        <v>18.8399</v>
      </c>
      <c r="D333" s="28">
        <v>0.28513888900000001</v>
      </c>
      <c r="E333" s="19">
        <f t="shared" si="5"/>
        <v>18.8399</v>
      </c>
      <c r="F333" s="19">
        <f>C333*'Model Inputs'!$B$20</f>
        <v>1.3187930000000001</v>
      </c>
      <c r="G333" s="31">
        <f>C333*'Model Inputs'!$B$21</f>
        <v>2.072389E-3</v>
      </c>
    </row>
    <row r="334" spans="1:7">
      <c r="A334" s="8" t="s">
        <v>61</v>
      </c>
      <c r="B334" s="4" t="s">
        <v>85</v>
      </c>
      <c r="C334" s="12">
        <v>7.0232999999999999</v>
      </c>
      <c r="D334" s="28">
        <v>0.14347222200000001</v>
      </c>
      <c r="E334" s="19">
        <f t="shared" si="5"/>
        <v>7.0232999999999999</v>
      </c>
      <c r="F334" s="19">
        <f>C334*'Model Inputs'!$B$20</f>
        <v>0.49163100000000004</v>
      </c>
      <c r="G334" s="31">
        <f>C334*'Model Inputs'!$B$21</f>
        <v>7.7256299999999998E-4</v>
      </c>
    </row>
    <row r="335" spans="1:7">
      <c r="A335" s="8" t="s">
        <v>61</v>
      </c>
      <c r="B335" s="4" t="s">
        <v>89</v>
      </c>
      <c r="C335" s="12">
        <v>25.042300000000001</v>
      </c>
      <c r="D335" s="28">
        <v>0.51161111100000001</v>
      </c>
      <c r="E335" s="19">
        <f t="shared" si="5"/>
        <v>25.042300000000001</v>
      </c>
      <c r="F335" s="19">
        <f>C335*'Model Inputs'!$B$20</f>
        <v>1.7529610000000002</v>
      </c>
      <c r="G335" s="31">
        <f>C335*'Model Inputs'!$B$21</f>
        <v>2.7546530000000001E-3</v>
      </c>
    </row>
    <row r="336" spans="1:7">
      <c r="A336" s="8" t="s">
        <v>61</v>
      </c>
      <c r="B336" s="4" t="s">
        <v>92</v>
      </c>
      <c r="C336" s="12">
        <v>17.445</v>
      </c>
      <c r="D336" s="28">
        <v>0.383333333</v>
      </c>
      <c r="E336" s="19">
        <f t="shared" si="5"/>
        <v>17.445</v>
      </c>
      <c r="F336" s="19">
        <f>C336*'Model Inputs'!$B$20</f>
        <v>1.2211500000000002</v>
      </c>
      <c r="G336" s="31">
        <f>C336*'Model Inputs'!$B$21</f>
        <v>1.91895E-3</v>
      </c>
    </row>
    <row r="337" spans="1:7">
      <c r="A337" s="8" t="s">
        <v>61</v>
      </c>
      <c r="B337" s="4" t="s">
        <v>95</v>
      </c>
      <c r="C337" s="12">
        <v>31.3721</v>
      </c>
      <c r="D337" s="28">
        <v>0.47130555600000001</v>
      </c>
      <c r="E337" s="19">
        <f t="shared" si="5"/>
        <v>31.3721</v>
      </c>
      <c r="F337" s="19">
        <f>C337*'Model Inputs'!$B$20</f>
        <v>2.1960470000000001</v>
      </c>
      <c r="G337" s="31">
        <f>C337*'Model Inputs'!$B$21</f>
        <v>3.450931E-3</v>
      </c>
    </row>
    <row r="338" spans="1:7">
      <c r="A338" s="8" t="s">
        <v>64</v>
      </c>
      <c r="B338" s="4" t="s">
        <v>2</v>
      </c>
      <c r="C338" s="12">
        <v>20.508199999999999</v>
      </c>
      <c r="D338" s="28">
        <v>0.411472222</v>
      </c>
      <c r="E338" s="19">
        <f t="shared" si="5"/>
        <v>20.508199999999999</v>
      </c>
      <c r="F338" s="19">
        <f>C338*'Model Inputs'!$B$20</f>
        <v>1.4355740000000001</v>
      </c>
      <c r="G338" s="31">
        <f>C338*'Model Inputs'!$B$21</f>
        <v>2.2559019999999997E-3</v>
      </c>
    </row>
    <row r="339" spans="1:7">
      <c r="A339" s="8" t="s">
        <v>64</v>
      </c>
      <c r="B339" s="4" t="s">
        <v>18</v>
      </c>
      <c r="C339" s="12">
        <v>25.674800000000001</v>
      </c>
      <c r="D339" s="28">
        <v>0.52483333300000001</v>
      </c>
      <c r="E339" s="19">
        <f t="shared" si="5"/>
        <v>25.674800000000001</v>
      </c>
      <c r="F339" s="19">
        <f>C339*'Model Inputs'!$B$20</f>
        <v>1.7972360000000003</v>
      </c>
      <c r="G339" s="31">
        <f>C339*'Model Inputs'!$B$21</f>
        <v>2.8242280000000002E-3</v>
      </c>
    </row>
    <row r="340" spans="1:7">
      <c r="A340" s="8" t="s">
        <v>64</v>
      </c>
      <c r="B340" s="4" t="s">
        <v>23</v>
      </c>
      <c r="C340" s="12">
        <v>21.648399999999999</v>
      </c>
      <c r="D340" s="28">
        <v>0.42649999999999999</v>
      </c>
      <c r="E340" s="19">
        <f t="shared" si="5"/>
        <v>21.648399999999999</v>
      </c>
      <c r="F340" s="19">
        <f>C340*'Model Inputs'!$B$20</f>
        <v>1.515388</v>
      </c>
      <c r="G340" s="31">
        <f>C340*'Model Inputs'!$B$21</f>
        <v>2.3813239999999998E-3</v>
      </c>
    </row>
    <row r="341" spans="1:7">
      <c r="A341" s="8" t="s">
        <v>64</v>
      </c>
      <c r="B341" s="4" t="s">
        <v>27</v>
      </c>
      <c r="C341" s="12">
        <v>13.8825</v>
      </c>
      <c r="D341" s="28">
        <v>0.30611111099999999</v>
      </c>
      <c r="E341" s="19">
        <f t="shared" si="5"/>
        <v>13.8825</v>
      </c>
      <c r="F341" s="19">
        <f>C341*'Model Inputs'!$B$20</f>
        <v>0.97177500000000017</v>
      </c>
      <c r="G341" s="31">
        <f>C341*'Model Inputs'!$B$21</f>
        <v>1.5270750000000001E-3</v>
      </c>
    </row>
    <row r="342" spans="1:7">
      <c r="A342" s="8" t="s">
        <v>64</v>
      </c>
      <c r="B342" s="4" t="s">
        <v>31</v>
      </c>
      <c r="C342" s="12">
        <v>8.6207999999999991</v>
      </c>
      <c r="D342" s="28">
        <v>0.18669444399999999</v>
      </c>
      <c r="E342" s="19">
        <f t="shared" si="5"/>
        <v>8.6207999999999991</v>
      </c>
      <c r="F342" s="19">
        <f>C342*'Model Inputs'!$B$20</f>
        <v>0.60345599999999999</v>
      </c>
      <c r="G342" s="31">
        <f>C342*'Model Inputs'!$B$21</f>
        <v>9.4828799999999993E-4</v>
      </c>
    </row>
    <row r="343" spans="1:7">
      <c r="A343" s="8" t="s">
        <v>64</v>
      </c>
      <c r="B343" s="4" t="s">
        <v>35</v>
      </c>
      <c r="C343" s="12">
        <v>22.791799999999999</v>
      </c>
      <c r="D343" s="28">
        <v>0.46908333299999999</v>
      </c>
      <c r="E343" s="19">
        <f t="shared" si="5"/>
        <v>22.791799999999999</v>
      </c>
      <c r="F343" s="19">
        <f>C343*'Model Inputs'!$B$20</f>
        <v>1.595426</v>
      </c>
      <c r="G343" s="31">
        <f>C343*'Model Inputs'!$B$21</f>
        <v>2.5070980000000001E-3</v>
      </c>
    </row>
    <row r="344" spans="1:7">
      <c r="A344" s="8" t="s">
        <v>64</v>
      </c>
      <c r="B344" s="4" t="s">
        <v>38</v>
      </c>
      <c r="C344" s="12">
        <v>18.749700000000001</v>
      </c>
      <c r="D344" s="28">
        <v>0.30455555600000001</v>
      </c>
      <c r="E344" s="19">
        <f t="shared" si="5"/>
        <v>18.749700000000001</v>
      </c>
      <c r="F344" s="19">
        <f>C344*'Model Inputs'!$B$20</f>
        <v>1.3124790000000002</v>
      </c>
      <c r="G344" s="31">
        <f>C344*'Model Inputs'!$B$21</f>
        <v>2.0624670000000001E-3</v>
      </c>
    </row>
    <row r="345" spans="1:7">
      <c r="A345" s="8" t="s">
        <v>64</v>
      </c>
      <c r="B345" s="4" t="s">
        <v>42</v>
      </c>
      <c r="C345" s="12">
        <v>23.003699999999998</v>
      </c>
      <c r="D345" s="28">
        <v>0.44574999999999998</v>
      </c>
      <c r="E345" s="19">
        <f t="shared" si="5"/>
        <v>23.003699999999998</v>
      </c>
      <c r="F345" s="19">
        <f>C345*'Model Inputs'!$B$20</f>
        <v>1.6102590000000001</v>
      </c>
      <c r="G345" s="31">
        <f>C345*'Model Inputs'!$B$21</f>
        <v>2.5304069999999997E-3</v>
      </c>
    </row>
    <row r="346" spans="1:7">
      <c r="A346" s="8" t="s">
        <v>64</v>
      </c>
      <c r="B346" s="4" t="s">
        <v>46</v>
      </c>
      <c r="C346" s="12">
        <v>14.0502</v>
      </c>
      <c r="D346" s="28">
        <v>0.27977777799999998</v>
      </c>
      <c r="E346" s="19">
        <f t="shared" si="5"/>
        <v>14.0502</v>
      </c>
      <c r="F346" s="19">
        <f>C346*'Model Inputs'!$B$20</f>
        <v>0.98351400000000011</v>
      </c>
      <c r="G346" s="31">
        <f>C346*'Model Inputs'!$B$21</f>
        <v>1.5455220000000001E-3</v>
      </c>
    </row>
    <row r="347" spans="1:7">
      <c r="A347" s="8" t="s">
        <v>64</v>
      </c>
      <c r="B347" s="4" t="s">
        <v>49</v>
      </c>
      <c r="C347" s="12">
        <v>13.145200000000001</v>
      </c>
      <c r="D347" s="28">
        <v>0.24208333300000001</v>
      </c>
      <c r="E347" s="19">
        <f t="shared" si="5"/>
        <v>13.145200000000001</v>
      </c>
      <c r="F347" s="19">
        <f>C347*'Model Inputs'!$B$20</f>
        <v>0.9201640000000002</v>
      </c>
      <c r="G347" s="31">
        <f>C347*'Model Inputs'!$B$21</f>
        <v>1.4459720000000002E-3</v>
      </c>
    </row>
    <row r="348" spans="1:7">
      <c r="A348" s="8" t="s">
        <v>64</v>
      </c>
      <c r="B348" s="4" t="s">
        <v>52</v>
      </c>
      <c r="C348" s="12">
        <v>28.3904</v>
      </c>
      <c r="D348" s="28">
        <v>0.57658333299999998</v>
      </c>
      <c r="E348" s="19">
        <f t="shared" si="5"/>
        <v>28.3904</v>
      </c>
      <c r="F348" s="19">
        <f>C348*'Model Inputs'!$B$20</f>
        <v>1.9873280000000002</v>
      </c>
      <c r="G348" s="31">
        <f>C348*'Model Inputs'!$B$21</f>
        <v>3.1229439999999999E-3</v>
      </c>
    </row>
    <row r="349" spans="1:7">
      <c r="A349" s="8" t="s">
        <v>64</v>
      </c>
      <c r="B349" s="4" t="s">
        <v>55</v>
      </c>
      <c r="C349" s="12">
        <v>19.697700000000001</v>
      </c>
      <c r="D349" s="28">
        <v>0.36336111100000001</v>
      </c>
      <c r="E349" s="19">
        <f t="shared" si="5"/>
        <v>19.697700000000001</v>
      </c>
      <c r="F349" s="19">
        <f>C349*'Model Inputs'!$B$20</f>
        <v>1.3788390000000001</v>
      </c>
      <c r="G349" s="31">
        <f>C349*'Model Inputs'!$B$21</f>
        <v>2.1667470000000001E-3</v>
      </c>
    </row>
    <row r="350" spans="1:7">
      <c r="A350" s="8" t="s">
        <v>64</v>
      </c>
      <c r="B350" s="4" t="s">
        <v>58</v>
      </c>
      <c r="C350" s="12">
        <v>34.779600000000002</v>
      </c>
      <c r="D350" s="28">
        <v>0.54258333299999995</v>
      </c>
      <c r="E350" s="19">
        <f t="shared" si="5"/>
        <v>34.779600000000002</v>
      </c>
      <c r="F350" s="19">
        <f>C350*'Model Inputs'!$B$20</f>
        <v>2.4345720000000002</v>
      </c>
      <c r="G350" s="31">
        <f>C350*'Model Inputs'!$B$21</f>
        <v>3.8257560000000005E-3</v>
      </c>
    </row>
    <row r="351" spans="1:7">
      <c r="A351" s="8" t="s">
        <v>64</v>
      </c>
      <c r="B351" s="4" t="s">
        <v>61</v>
      </c>
      <c r="C351" s="12">
        <v>15.3774</v>
      </c>
      <c r="D351" s="28">
        <v>0.29680555600000003</v>
      </c>
      <c r="E351" s="19">
        <f t="shared" si="5"/>
        <v>15.3774</v>
      </c>
      <c r="F351" s="19">
        <f>C351*'Model Inputs'!$B$20</f>
        <v>1.0764180000000001</v>
      </c>
      <c r="G351" s="31">
        <f>C351*'Model Inputs'!$B$21</f>
        <v>1.6915140000000001E-3</v>
      </c>
    </row>
    <row r="352" spans="1:7">
      <c r="A352" s="8" t="s">
        <v>64</v>
      </c>
      <c r="B352" s="4" t="s">
        <v>67</v>
      </c>
      <c r="C352" s="12">
        <v>34.64</v>
      </c>
      <c r="D352" s="28">
        <v>0.61991666700000003</v>
      </c>
      <c r="E352" s="19">
        <f t="shared" si="5"/>
        <v>34.64</v>
      </c>
      <c r="F352" s="19">
        <f>C352*'Model Inputs'!$B$20</f>
        <v>2.4248000000000003</v>
      </c>
      <c r="G352" s="31">
        <f>C352*'Model Inputs'!$B$21</f>
        <v>3.8104000000000002E-3</v>
      </c>
    </row>
    <row r="353" spans="1:7">
      <c r="A353" s="8" t="s">
        <v>64</v>
      </c>
      <c r="B353" s="4" t="s">
        <v>70</v>
      </c>
      <c r="C353" s="12">
        <v>42.9236</v>
      </c>
      <c r="D353" s="28">
        <v>0.75872222199999995</v>
      </c>
      <c r="E353" s="19">
        <f t="shared" si="5"/>
        <v>42.9236</v>
      </c>
      <c r="F353" s="19">
        <f>C353*'Model Inputs'!$B$20</f>
        <v>3.0046520000000001</v>
      </c>
      <c r="G353" s="31">
        <f>C353*'Model Inputs'!$B$21</f>
        <v>4.7215960000000006E-3</v>
      </c>
    </row>
    <row r="354" spans="1:7">
      <c r="A354" s="8" t="s">
        <v>64</v>
      </c>
      <c r="B354" s="4" t="s">
        <v>73</v>
      </c>
      <c r="C354" s="12">
        <v>43.086500000000001</v>
      </c>
      <c r="D354" s="28">
        <v>0.793083333</v>
      </c>
      <c r="E354" s="19">
        <f t="shared" si="5"/>
        <v>43.086500000000001</v>
      </c>
      <c r="F354" s="19">
        <f>C354*'Model Inputs'!$B$20</f>
        <v>3.0160550000000002</v>
      </c>
      <c r="G354" s="31">
        <f>C354*'Model Inputs'!$B$21</f>
        <v>4.7395150000000006E-3</v>
      </c>
    </row>
    <row r="355" spans="1:7">
      <c r="A355" s="8" t="s">
        <v>64</v>
      </c>
      <c r="B355" s="4" t="s">
        <v>76</v>
      </c>
      <c r="C355" s="12">
        <v>32.475099999999998</v>
      </c>
      <c r="D355" s="28">
        <v>0.56494444399999999</v>
      </c>
      <c r="E355" s="19">
        <f t="shared" si="5"/>
        <v>32.475099999999998</v>
      </c>
      <c r="F355" s="19">
        <f>C355*'Model Inputs'!$B$20</f>
        <v>2.2732570000000001</v>
      </c>
      <c r="G355" s="31">
        <f>C355*'Model Inputs'!$B$21</f>
        <v>3.5722609999999998E-3</v>
      </c>
    </row>
    <row r="356" spans="1:7">
      <c r="A356" s="8" t="s">
        <v>64</v>
      </c>
      <c r="B356" s="4" t="s">
        <v>79</v>
      </c>
      <c r="C356" s="12">
        <v>30.513400000000001</v>
      </c>
      <c r="D356" s="28">
        <v>0.65952777799999995</v>
      </c>
      <c r="E356" s="19">
        <f t="shared" si="5"/>
        <v>30.513400000000001</v>
      </c>
      <c r="F356" s="19">
        <f>C356*'Model Inputs'!$B$20</f>
        <v>2.1359380000000003</v>
      </c>
      <c r="G356" s="31">
        <f>C356*'Model Inputs'!$B$21</f>
        <v>3.3564740000000003E-3</v>
      </c>
    </row>
    <row r="357" spans="1:7">
      <c r="A357" s="8" t="s">
        <v>64</v>
      </c>
      <c r="B357" s="4" t="s">
        <v>82</v>
      </c>
      <c r="C357" s="12">
        <v>32.7712</v>
      </c>
      <c r="D357" s="28">
        <v>0.54658333299999995</v>
      </c>
      <c r="E357" s="19">
        <f t="shared" si="5"/>
        <v>32.7712</v>
      </c>
      <c r="F357" s="19">
        <f>C357*'Model Inputs'!$B$20</f>
        <v>2.293984</v>
      </c>
      <c r="G357" s="31">
        <f>C357*'Model Inputs'!$B$21</f>
        <v>3.6048320000000001E-3</v>
      </c>
    </row>
    <row r="358" spans="1:7">
      <c r="A358" s="8" t="s">
        <v>64</v>
      </c>
      <c r="B358" s="4" t="s">
        <v>85</v>
      </c>
      <c r="C358" s="12">
        <v>10.7029</v>
      </c>
      <c r="D358" s="28">
        <v>0.221611111</v>
      </c>
      <c r="E358" s="19">
        <f t="shared" si="5"/>
        <v>10.7029</v>
      </c>
      <c r="F358" s="19">
        <f>C358*'Model Inputs'!$B$20</f>
        <v>0.74920300000000006</v>
      </c>
      <c r="G358" s="31">
        <f>C358*'Model Inputs'!$B$21</f>
        <v>1.177319E-3</v>
      </c>
    </row>
    <row r="359" spans="1:7">
      <c r="A359" s="8" t="s">
        <v>64</v>
      </c>
      <c r="B359" s="4" t="s">
        <v>89</v>
      </c>
      <c r="C359" s="12">
        <v>26.104800000000001</v>
      </c>
      <c r="D359" s="28">
        <v>0.53658333300000005</v>
      </c>
      <c r="E359" s="19">
        <f t="shared" si="5"/>
        <v>26.104800000000001</v>
      </c>
      <c r="F359" s="19">
        <f>C359*'Model Inputs'!$B$20</f>
        <v>1.8273360000000003</v>
      </c>
      <c r="G359" s="31">
        <f>C359*'Model Inputs'!$B$21</f>
        <v>2.8715280000000004E-3</v>
      </c>
    </row>
    <row r="360" spans="1:7">
      <c r="A360" s="8" t="s">
        <v>64</v>
      </c>
      <c r="B360" s="4" t="s">
        <v>92</v>
      </c>
      <c r="C360" s="12">
        <v>20.570599999999999</v>
      </c>
      <c r="D360" s="28">
        <v>0.41055555599999999</v>
      </c>
      <c r="E360" s="19">
        <f t="shared" si="5"/>
        <v>20.570599999999999</v>
      </c>
      <c r="F360" s="19">
        <f>C360*'Model Inputs'!$B$20</f>
        <v>1.4399420000000001</v>
      </c>
      <c r="G360" s="31">
        <f>C360*'Model Inputs'!$B$21</f>
        <v>2.2627659999999998E-3</v>
      </c>
    </row>
    <row r="361" spans="1:7">
      <c r="A361" s="8" t="s">
        <v>64</v>
      </c>
      <c r="B361" s="4" t="s">
        <v>95</v>
      </c>
      <c r="C361" s="12">
        <v>32.780999999999999</v>
      </c>
      <c r="D361" s="28">
        <v>0.51005555599999997</v>
      </c>
      <c r="E361" s="19">
        <f t="shared" si="5"/>
        <v>32.780999999999999</v>
      </c>
      <c r="F361" s="19">
        <f>C361*'Model Inputs'!$B$20</f>
        <v>2.29467</v>
      </c>
      <c r="G361" s="31">
        <f>C361*'Model Inputs'!$B$21</f>
        <v>3.6059099999999999E-3</v>
      </c>
    </row>
    <row r="362" spans="1:7">
      <c r="A362" s="8" t="s">
        <v>67</v>
      </c>
      <c r="B362" s="4" t="s">
        <v>2</v>
      </c>
      <c r="C362" s="12">
        <v>17.4162</v>
      </c>
      <c r="D362" s="28">
        <v>0.33774999999999999</v>
      </c>
      <c r="E362" s="19">
        <f t="shared" si="5"/>
        <v>17.4162</v>
      </c>
      <c r="F362" s="19">
        <f>C362*'Model Inputs'!$B$20</f>
        <v>1.2191340000000002</v>
      </c>
      <c r="G362" s="31">
        <f>C362*'Model Inputs'!$B$21</f>
        <v>1.915782E-3</v>
      </c>
    </row>
    <row r="363" spans="1:7">
      <c r="A363" s="8" t="s">
        <v>67</v>
      </c>
      <c r="B363" s="4" t="s">
        <v>18</v>
      </c>
      <c r="C363" s="12">
        <v>17.835000000000001</v>
      </c>
      <c r="D363" s="28">
        <v>0.370888889</v>
      </c>
      <c r="E363" s="19">
        <f t="shared" si="5"/>
        <v>17.835000000000001</v>
      </c>
      <c r="F363" s="19">
        <f>C363*'Model Inputs'!$B$20</f>
        <v>1.2484500000000003</v>
      </c>
      <c r="G363" s="31">
        <f>C363*'Model Inputs'!$B$21</f>
        <v>1.9618500000000002E-3</v>
      </c>
    </row>
    <row r="364" spans="1:7">
      <c r="A364" s="8" t="s">
        <v>67</v>
      </c>
      <c r="B364" s="4" t="s">
        <v>23</v>
      </c>
      <c r="C364" s="12">
        <v>14.6122</v>
      </c>
      <c r="D364" s="28">
        <v>0.26863888899999999</v>
      </c>
      <c r="E364" s="19">
        <f t="shared" si="5"/>
        <v>14.6122</v>
      </c>
      <c r="F364" s="19">
        <f>C364*'Model Inputs'!$B$20</f>
        <v>1.0228540000000002</v>
      </c>
      <c r="G364" s="31">
        <f>C364*'Model Inputs'!$B$21</f>
        <v>1.6073420000000001E-3</v>
      </c>
    </row>
    <row r="365" spans="1:7">
      <c r="A365" s="8" t="s">
        <v>67</v>
      </c>
      <c r="B365" s="4" t="s">
        <v>27</v>
      </c>
      <c r="C365" s="12">
        <v>25.325099999999999</v>
      </c>
      <c r="D365" s="28">
        <v>0.50830555600000005</v>
      </c>
      <c r="E365" s="19">
        <f t="shared" si="5"/>
        <v>25.325099999999999</v>
      </c>
      <c r="F365" s="19">
        <f>C365*'Model Inputs'!$B$20</f>
        <v>1.7727570000000001</v>
      </c>
      <c r="G365" s="31">
        <f>C365*'Model Inputs'!$B$21</f>
        <v>2.7857609999999999E-3</v>
      </c>
    </row>
    <row r="366" spans="1:7">
      <c r="A366" s="8" t="s">
        <v>67</v>
      </c>
      <c r="B366" s="4" t="s">
        <v>31</v>
      </c>
      <c r="C366" s="12">
        <v>32.110300000000002</v>
      </c>
      <c r="D366" s="28">
        <v>0.59377777799999998</v>
      </c>
      <c r="E366" s="19">
        <f t="shared" si="5"/>
        <v>32.110300000000002</v>
      </c>
      <c r="F366" s="19">
        <f>C366*'Model Inputs'!$B$20</f>
        <v>2.2477210000000003</v>
      </c>
      <c r="G366" s="31">
        <f>C366*'Model Inputs'!$B$21</f>
        <v>3.5321330000000002E-3</v>
      </c>
    </row>
    <row r="367" spans="1:7">
      <c r="A367" s="8" t="s">
        <v>67</v>
      </c>
      <c r="B367" s="4" t="s">
        <v>35</v>
      </c>
      <c r="C367" s="12">
        <v>24.291699999999999</v>
      </c>
      <c r="D367" s="28">
        <v>0.38922222200000001</v>
      </c>
      <c r="E367" s="19">
        <f t="shared" si="5"/>
        <v>24.291699999999999</v>
      </c>
      <c r="F367" s="19">
        <f>C367*'Model Inputs'!$B$20</f>
        <v>1.7004190000000001</v>
      </c>
      <c r="G367" s="31">
        <f>C367*'Model Inputs'!$B$21</f>
        <v>2.6720870000000001E-3</v>
      </c>
    </row>
    <row r="368" spans="1:7">
      <c r="A368" s="8" t="s">
        <v>67</v>
      </c>
      <c r="B368" s="4" t="s">
        <v>38</v>
      </c>
      <c r="C368" s="12">
        <v>50.261800000000001</v>
      </c>
      <c r="D368" s="28">
        <v>0.85322222199999997</v>
      </c>
      <c r="E368" s="19">
        <f t="shared" si="5"/>
        <v>50.261800000000001</v>
      </c>
      <c r="F368" s="19">
        <f>C368*'Model Inputs'!$B$20</f>
        <v>3.5183260000000005</v>
      </c>
      <c r="G368" s="31">
        <f>C368*'Model Inputs'!$B$21</f>
        <v>5.5287980000000006E-3</v>
      </c>
    </row>
    <row r="369" spans="1:7">
      <c r="A369" s="8" t="s">
        <v>67</v>
      </c>
      <c r="B369" s="4" t="s">
        <v>42</v>
      </c>
      <c r="C369" s="12">
        <v>27.8277</v>
      </c>
      <c r="D369" s="28">
        <v>0.442111111</v>
      </c>
      <c r="E369" s="19">
        <f t="shared" si="5"/>
        <v>27.8277</v>
      </c>
      <c r="F369" s="19">
        <f>C369*'Model Inputs'!$B$20</f>
        <v>1.9479390000000001</v>
      </c>
      <c r="G369" s="31">
        <f>C369*'Model Inputs'!$B$21</f>
        <v>3.0610470000000003E-3</v>
      </c>
    </row>
    <row r="370" spans="1:7">
      <c r="A370" s="8" t="s">
        <v>67</v>
      </c>
      <c r="B370" s="4" t="s">
        <v>46</v>
      </c>
      <c r="C370" s="12">
        <v>29.192799999999998</v>
      </c>
      <c r="D370" s="28">
        <v>0.48038888899999999</v>
      </c>
      <c r="E370" s="19">
        <f t="shared" si="5"/>
        <v>29.192799999999998</v>
      </c>
      <c r="F370" s="19">
        <f>C370*'Model Inputs'!$B$20</f>
        <v>2.0434960000000002</v>
      </c>
      <c r="G370" s="31">
        <f>C370*'Model Inputs'!$B$21</f>
        <v>3.2112080000000001E-3</v>
      </c>
    </row>
    <row r="371" spans="1:7">
      <c r="A371" s="8" t="s">
        <v>67</v>
      </c>
      <c r="B371" s="4" t="s">
        <v>49</v>
      </c>
      <c r="C371" s="12">
        <v>48.0441</v>
      </c>
      <c r="D371" s="28">
        <v>0.83266666700000003</v>
      </c>
      <c r="E371" s="19">
        <f t="shared" si="5"/>
        <v>48.0441</v>
      </c>
      <c r="F371" s="19">
        <f>C371*'Model Inputs'!$B$20</f>
        <v>3.3630870000000002</v>
      </c>
      <c r="G371" s="31">
        <f>C371*'Model Inputs'!$B$21</f>
        <v>5.2848510000000001E-3</v>
      </c>
    </row>
    <row r="372" spans="1:7">
      <c r="A372" s="8" t="s">
        <v>67</v>
      </c>
      <c r="B372" s="4" t="s">
        <v>52</v>
      </c>
      <c r="C372" s="12">
        <v>16.043199999999999</v>
      </c>
      <c r="D372" s="28">
        <v>0.34925</v>
      </c>
      <c r="E372" s="19">
        <f t="shared" si="5"/>
        <v>16.043199999999999</v>
      </c>
      <c r="F372" s="19">
        <f>C372*'Model Inputs'!$B$20</f>
        <v>1.123024</v>
      </c>
      <c r="G372" s="31">
        <f>C372*'Model Inputs'!$B$21</f>
        <v>1.7647519999999999E-3</v>
      </c>
    </row>
    <row r="373" spans="1:7">
      <c r="A373" s="8" t="s">
        <v>67</v>
      </c>
      <c r="B373" s="4" t="s">
        <v>55</v>
      </c>
      <c r="C373" s="12">
        <v>24.1099</v>
      </c>
      <c r="D373" s="28">
        <v>0.50275000000000003</v>
      </c>
      <c r="E373" s="19">
        <f t="shared" si="5"/>
        <v>24.1099</v>
      </c>
      <c r="F373" s="19">
        <f>C373*'Model Inputs'!$B$20</f>
        <v>1.6876930000000001</v>
      </c>
      <c r="G373" s="31">
        <f>C373*'Model Inputs'!$B$21</f>
        <v>2.6520890000000003E-3</v>
      </c>
    </row>
    <row r="374" spans="1:7">
      <c r="A374" s="8" t="s">
        <v>67</v>
      </c>
      <c r="B374" s="4" t="s">
        <v>58</v>
      </c>
      <c r="C374" s="12">
        <v>17.446300000000001</v>
      </c>
      <c r="D374" s="28">
        <v>0.36536111100000002</v>
      </c>
      <c r="E374" s="19">
        <f t="shared" si="5"/>
        <v>17.446300000000001</v>
      </c>
      <c r="F374" s="19">
        <f>C374*'Model Inputs'!$B$20</f>
        <v>1.2212410000000002</v>
      </c>
      <c r="G374" s="31">
        <f>C374*'Model Inputs'!$B$21</f>
        <v>1.9190930000000002E-3</v>
      </c>
    </row>
    <row r="375" spans="1:7">
      <c r="A375" s="8" t="s">
        <v>67</v>
      </c>
      <c r="B375" s="4" t="s">
        <v>61</v>
      </c>
      <c r="C375" s="12">
        <v>30.801300000000001</v>
      </c>
      <c r="D375" s="28">
        <v>0.48347222200000001</v>
      </c>
      <c r="E375" s="19">
        <f t="shared" si="5"/>
        <v>30.801300000000001</v>
      </c>
      <c r="F375" s="19">
        <f>C375*'Model Inputs'!$B$20</f>
        <v>2.1560910000000004</v>
      </c>
      <c r="G375" s="31">
        <f>C375*'Model Inputs'!$B$21</f>
        <v>3.3881430000000001E-3</v>
      </c>
    </row>
    <row r="376" spans="1:7">
      <c r="A376" s="8" t="s">
        <v>67</v>
      </c>
      <c r="B376" s="4" t="s">
        <v>64</v>
      </c>
      <c r="C376" s="12">
        <v>35.433799999999998</v>
      </c>
      <c r="D376" s="28">
        <v>0.65375000000000005</v>
      </c>
      <c r="E376" s="19">
        <f t="shared" si="5"/>
        <v>35.433799999999998</v>
      </c>
      <c r="F376" s="19">
        <f>C376*'Model Inputs'!$B$20</f>
        <v>2.4803660000000001</v>
      </c>
      <c r="G376" s="31">
        <f>C376*'Model Inputs'!$B$21</f>
        <v>3.8977180000000001E-3</v>
      </c>
    </row>
    <row r="377" spans="1:7">
      <c r="A377" s="8" t="s">
        <v>67</v>
      </c>
      <c r="B377" s="4" t="s">
        <v>70</v>
      </c>
      <c r="C377" s="12">
        <v>22.953800000000001</v>
      </c>
      <c r="D377" s="28">
        <v>0.40455555599999998</v>
      </c>
      <c r="E377" s="19">
        <f t="shared" si="5"/>
        <v>22.953800000000001</v>
      </c>
      <c r="F377" s="19">
        <f>C377*'Model Inputs'!$B$20</f>
        <v>1.6067660000000001</v>
      </c>
      <c r="G377" s="31">
        <f>C377*'Model Inputs'!$B$21</f>
        <v>2.5249180000000001E-3</v>
      </c>
    </row>
    <row r="378" spans="1:7">
      <c r="A378" s="8" t="s">
        <v>67</v>
      </c>
      <c r="B378" s="4" t="s">
        <v>73</v>
      </c>
      <c r="C378" s="12">
        <v>6.4389000000000003</v>
      </c>
      <c r="D378" s="28">
        <v>0.1845</v>
      </c>
      <c r="E378" s="19">
        <f t="shared" si="5"/>
        <v>6.4389000000000003</v>
      </c>
      <c r="F378" s="19">
        <f>C378*'Model Inputs'!$B$20</f>
        <v>0.45072300000000004</v>
      </c>
      <c r="G378" s="31">
        <f>C378*'Model Inputs'!$B$21</f>
        <v>7.0827900000000003E-4</v>
      </c>
    </row>
    <row r="379" spans="1:7">
      <c r="A379" s="8" t="s">
        <v>67</v>
      </c>
      <c r="B379" s="4" t="s">
        <v>76</v>
      </c>
      <c r="C379" s="12">
        <v>14.5403</v>
      </c>
      <c r="D379" s="28">
        <v>0.25094444399999999</v>
      </c>
      <c r="E379" s="19">
        <f t="shared" si="5"/>
        <v>14.5403</v>
      </c>
      <c r="F379" s="19">
        <f>C379*'Model Inputs'!$B$20</f>
        <v>1.0178210000000001</v>
      </c>
      <c r="G379" s="31">
        <f>C379*'Model Inputs'!$B$21</f>
        <v>1.5994330000000001E-3</v>
      </c>
    </row>
    <row r="380" spans="1:7">
      <c r="A380" s="8" t="s">
        <v>67</v>
      </c>
      <c r="B380" s="4" t="s">
        <v>79</v>
      </c>
      <c r="C380" s="12">
        <v>9.5053000000000001</v>
      </c>
      <c r="D380" s="28">
        <v>0.221222222</v>
      </c>
      <c r="E380" s="19">
        <f t="shared" si="5"/>
        <v>9.5053000000000001</v>
      </c>
      <c r="F380" s="19">
        <f>C380*'Model Inputs'!$B$20</f>
        <v>0.66537100000000005</v>
      </c>
      <c r="G380" s="31">
        <f>C380*'Model Inputs'!$B$21</f>
        <v>1.0455830000000001E-3</v>
      </c>
    </row>
    <row r="381" spans="1:7">
      <c r="A381" s="8" t="s">
        <v>67</v>
      </c>
      <c r="B381" s="4" t="s">
        <v>82</v>
      </c>
      <c r="C381" s="12">
        <v>20.089400000000001</v>
      </c>
      <c r="D381" s="28">
        <v>0.407972222</v>
      </c>
      <c r="E381" s="19">
        <f t="shared" si="5"/>
        <v>20.089400000000001</v>
      </c>
      <c r="F381" s="19">
        <f>C381*'Model Inputs'!$B$20</f>
        <v>1.4062580000000002</v>
      </c>
      <c r="G381" s="31">
        <f>C381*'Model Inputs'!$B$21</f>
        <v>2.2098340000000004E-3</v>
      </c>
    </row>
    <row r="382" spans="1:7">
      <c r="A382" s="8" t="s">
        <v>67</v>
      </c>
      <c r="B382" s="4" t="s">
        <v>85</v>
      </c>
      <c r="C382" s="12">
        <v>31.432099999999998</v>
      </c>
      <c r="D382" s="28">
        <v>0.50924999999999998</v>
      </c>
      <c r="E382" s="19">
        <f t="shared" si="5"/>
        <v>31.432099999999998</v>
      </c>
      <c r="F382" s="19">
        <f>C382*'Model Inputs'!$B$20</f>
        <v>2.2002470000000001</v>
      </c>
      <c r="G382" s="31">
        <f>C382*'Model Inputs'!$B$21</f>
        <v>3.4575309999999998E-3</v>
      </c>
    </row>
    <row r="383" spans="1:7">
      <c r="A383" s="8" t="s">
        <v>67</v>
      </c>
      <c r="B383" s="4" t="s">
        <v>89</v>
      </c>
      <c r="C383" s="12">
        <v>13.006600000000001</v>
      </c>
      <c r="D383" s="28">
        <v>0.26627777800000002</v>
      </c>
      <c r="E383" s="19">
        <f t="shared" si="5"/>
        <v>13.006600000000001</v>
      </c>
      <c r="F383" s="19">
        <f>C383*'Model Inputs'!$B$20</f>
        <v>0.9104620000000001</v>
      </c>
      <c r="G383" s="31">
        <f>C383*'Model Inputs'!$B$21</f>
        <v>1.4307260000000002E-3</v>
      </c>
    </row>
    <row r="384" spans="1:7">
      <c r="A384" s="8" t="s">
        <v>67</v>
      </c>
      <c r="B384" s="4" t="s">
        <v>92</v>
      </c>
      <c r="C384" s="12">
        <v>16.148499999999999</v>
      </c>
      <c r="D384" s="28">
        <v>0.311277778</v>
      </c>
      <c r="E384" s="19">
        <f t="shared" si="5"/>
        <v>16.148499999999999</v>
      </c>
      <c r="F384" s="19">
        <f>C384*'Model Inputs'!$B$20</f>
        <v>1.130395</v>
      </c>
      <c r="G384" s="31">
        <f>C384*'Model Inputs'!$B$21</f>
        <v>1.776335E-3</v>
      </c>
    </row>
    <row r="385" spans="1:7">
      <c r="A385" s="8" t="s">
        <v>67</v>
      </c>
      <c r="B385" s="4" t="s">
        <v>95</v>
      </c>
      <c r="C385" s="12">
        <v>15.8963</v>
      </c>
      <c r="D385" s="28">
        <v>0.33586111099999999</v>
      </c>
      <c r="E385" s="19">
        <f t="shared" si="5"/>
        <v>15.8963</v>
      </c>
      <c r="F385" s="19">
        <f>C385*'Model Inputs'!$B$20</f>
        <v>1.1127410000000002</v>
      </c>
      <c r="G385" s="31">
        <f>C385*'Model Inputs'!$B$21</f>
        <v>1.7485930000000001E-3</v>
      </c>
    </row>
    <row r="386" spans="1:7">
      <c r="A386" s="8" t="s">
        <v>70</v>
      </c>
      <c r="B386" s="4" t="s">
        <v>2</v>
      </c>
      <c r="C386" s="12">
        <v>23.3597</v>
      </c>
      <c r="D386" s="28">
        <v>0.48902777800000002</v>
      </c>
      <c r="E386" s="19">
        <f t="shared" ref="E386:E449" si="6">C386</f>
        <v>23.3597</v>
      </c>
      <c r="F386" s="19">
        <f>C386*'Model Inputs'!$B$20</f>
        <v>1.6351790000000002</v>
      </c>
      <c r="G386" s="31">
        <f>C386*'Model Inputs'!$B$21</f>
        <v>2.569567E-3</v>
      </c>
    </row>
    <row r="387" spans="1:7">
      <c r="A387" s="8" t="s">
        <v>70</v>
      </c>
      <c r="B387" s="4" t="s">
        <v>18</v>
      </c>
      <c r="C387" s="12">
        <v>25.1</v>
      </c>
      <c r="D387" s="28">
        <v>0.53102777800000001</v>
      </c>
      <c r="E387" s="19">
        <f t="shared" si="6"/>
        <v>25.1</v>
      </c>
      <c r="F387" s="19">
        <f>C387*'Model Inputs'!$B$20</f>
        <v>1.7570000000000003</v>
      </c>
      <c r="G387" s="31">
        <f>C387*'Model Inputs'!$B$21</f>
        <v>2.7610000000000004E-3</v>
      </c>
    </row>
    <row r="388" spans="1:7">
      <c r="A388" s="8" t="s">
        <v>70</v>
      </c>
      <c r="B388" s="4" t="s">
        <v>23</v>
      </c>
      <c r="C388" s="12">
        <v>34.741100000000003</v>
      </c>
      <c r="D388" s="28">
        <v>0.54602777800000002</v>
      </c>
      <c r="E388" s="19">
        <f t="shared" si="6"/>
        <v>34.741100000000003</v>
      </c>
      <c r="F388" s="19">
        <f>C388*'Model Inputs'!$B$20</f>
        <v>2.4318770000000005</v>
      </c>
      <c r="G388" s="31">
        <f>C388*'Model Inputs'!$B$21</f>
        <v>3.8215210000000005E-3</v>
      </c>
    </row>
    <row r="389" spans="1:7">
      <c r="A389" s="8" t="s">
        <v>70</v>
      </c>
      <c r="B389" s="4" t="s">
        <v>27</v>
      </c>
      <c r="C389" s="12">
        <v>31.243500000000001</v>
      </c>
      <c r="D389" s="28">
        <v>0.55577777799999994</v>
      </c>
      <c r="E389" s="19">
        <f t="shared" si="6"/>
        <v>31.243500000000001</v>
      </c>
      <c r="F389" s="19">
        <f>C389*'Model Inputs'!$B$20</f>
        <v>2.1870450000000003</v>
      </c>
      <c r="G389" s="31">
        <f>C389*'Model Inputs'!$B$21</f>
        <v>3.4367850000000004E-3</v>
      </c>
    </row>
    <row r="390" spans="1:7">
      <c r="A390" s="8" t="s">
        <v>70</v>
      </c>
      <c r="B390" s="4" t="s">
        <v>31</v>
      </c>
      <c r="C390" s="12">
        <v>38.7883</v>
      </c>
      <c r="D390" s="28">
        <v>0.66544444400000002</v>
      </c>
      <c r="E390" s="19">
        <f t="shared" si="6"/>
        <v>38.7883</v>
      </c>
      <c r="F390" s="19">
        <f>C390*'Model Inputs'!$B$20</f>
        <v>2.7151810000000003</v>
      </c>
      <c r="G390" s="31">
        <f>C390*'Model Inputs'!$B$21</f>
        <v>4.2667130000000001E-3</v>
      </c>
    </row>
    <row r="391" spans="1:7">
      <c r="A391" s="8" t="s">
        <v>70</v>
      </c>
      <c r="B391" s="4" t="s">
        <v>35</v>
      </c>
      <c r="C391" s="12">
        <v>44.4206</v>
      </c>
      <c r="D391" s="28">
        <v>0.66661111100000003</v>
      </c>
      <c r="E391" s="19">
        <f t="shared" si="6"/>
        <v>44.4206</v>
      </c>
      <c r="F391" s="19">
        <f>C391*'Model Inputs'!$B$20</f>
        <v>3.1094420000000005</v>
      </c>
      <c r="G391" s="31">
        <f>C391*'Model Inputs'!$B$21</f>
        <v>4.8862660000000002E-3</v>
      </c>
    </row>
    <row r="392" spans="1:7">
      <c r="A392" s="8" t="s">
        <v>70</v>
      </c>
      <c r="B392" s="4" t="s">
        <v>38</v>
      </c>
      <c r="C392" s="12">
        <v>46.8673</v>
      </c>
      <c r="D392" s="28">
        <v>0.82574999999999998</v>
      </c>
      <c r="E392" s="19">
        <f t="shared" si="6"/>
        <v>46.8673</v>
      </c>
      <c r="F392" s="19">
        <f>C392*'Model Inputs'!$B$20</f>
        <v>3.2807110000000002</v>
      </c>
      <c r="G392" s="31">
        <f>C392*'Model Inputs'!$B$21</f>
        <v>5.1554030000000002E-3</v>
      </c>
    </row>
    <row r="393" spans="1:7">
      <c r="A393" s="8" t="s">
        <v>70</v>
      </c>
      <c r="B393" s="4" t="s">
        <v>42</v>
      </c>
      <c r="C393" s="12">
        <v>47.956699999999998</v>
      </c>
      <c r="D393" s="28">
        <v>0.71950000000000003</v>
      </c>
      <c r="E393" s="19">
        <f t="shared" si="6"/>
        <v>47.956699999999998</v>
      </c>
      <c r="F393" s="19">
        <f>C393*'Model Inputs'!$B$20</f>
        <v>3.3569690000000003</v>
      </c>
      <c r="G393" s="31">
        <f>C393*'Model Inputs'!$B$21</f>
        <v>5.2752370000000003E-3</v>
      </c>
    </row>
    <row r="394" spans="1:7">
      <c r="A394" s="8" t="s">
        <v>70</v>
      </c>
      <c r="B394" s="4" t="s">
        <v>46</v>
      </c>
      <c r="C394" s="12">
        <v>40.527099999999997</v>
      </c>
      <c r="D394" s="28">
        <v>0.67911111099999999</v>
      </c>
      <c r="E394" s="19">
        <f t="shared" si="6"/>
        <v>40.527099999999997</v>
      </c>
      <c r="F394" s="19">
        <f>C394*'Model Inputs'!$B$20</f>
        <v>2.836897</v>
      </c>
      <c r="G394" s="31">
        <f>C394*'Model Inputs'!$B$21</f>
        <v>4.4579809999999997E-3</v>
      </c>
    </row>
    <row r="395" spans="1:7">
      <c r="A395" s="8" t="s">
        <v>70</v>
      </c>
      <c r="B395" s="4" t="s">
        <v>49</v>
      </c>
      <c r="C395" s="12">
        <v>52.404499999999999</v>
      </c>
      <c r="D395" s="28">
        <v>0.88763888899999999</v>
      </c>
      <c r="E395" s="19">
        <f t="shared" si="6"/>
        <v>52.404499999999999</v>
      </c>
      <c r="F395" s="19">
        <f>C395*'Model Inputs'!$B$20</f>
        <v>3.6683150000000002</v>
      </c>
      <c r="G395" s="31">
        <f>C395*'Model Inputs'!$B$21</f>
        <v>5.7644949999999997E-3</v>
      </c>
    </row>
    <row r="396" spans="1:7">
      <c r="A396" s="8" t="s">
        <v>70</v>
      </c>
      <c r="B396" s="4" t="s">
        <v>52</v>
      </c>
      <c r="C396" s="12">
        <v>15.8986</v>
      </c>
      <c r="D396" s="28">
        <v>0.36669444400000001</v>
      </c>
      <c r="E396" s="19">
        <f t="shared" si="6"/>
        <v>15.8986</v>
      </c>
      <c r="F396" s="19">
        <f>C396*'Model Inputs'!$B$20</f>
        <v>1.1129020000000001</v>
      </c>
      <c r="G396" s="31">
        <f>C396*'Model Inputs'!$B$21</f>
        <v>1.7488460000000001E-3</v>
      </c>
    </row>
    <row r="397" spans="1:7">
      <c r="A397" s="8" t="s">
        <v>70</v>
      </c>
      <c r="B397" s="4" t="s">
        <v>55</v>
      </c>
      <c r="C397" s="12">
        <v>25.6083</v>
      </c>
      <c r="D397" s="28">
        <v>0.48138888899999999</v>
      </c>
      <c r="E397" s="19">
        <f t="shared" si="6"/>
        <v>25.6083</v>
      </c>
      <c r="F397" s="19">
        <f>C397*'Model Inputs'!$B$20</f>
        <v>1.7925810000000002</v>
      </c>
      <c r="G397" s="31">
        <f>C397*'Model Inputs'!$B$21</f>
        <v>2.8169129999999999E-3</v>
      </c>
    </row>
    <row r="398" spans="1:7">
      <c r="A398" s="8" t="s">
        <v>70</v>
      </c>
      <c r="B398" s="4" t="s">
        <v>58</v>
      </c>
      <c r="C398" s="12">
        <v>8.4535</v>
      </c>
      <c r="D398" s="28">
        <v>0.21441666700000001</v>
      </c>
      <c r="E398" s="19">
        <f t="shared" si="6"/>
        <v>8.4535</v>
      </c>
      <c r="F398" s="19">
        <f>C398*'Model Inputs'!$B$20</f>
        <v>0.59174500000000008</v>
      </c>
      <c r="G398" s="31">
        <f>C398*'Model Inputs'!$B$21</f>
        <v>9.2988500000000009E-4</v>
      </c>
    </row>
    <row r="399" spans="1:7">
      <c r="A399" s="8" t="s">
        <v>70</v>
      </c>
      <c r="B399" s="4" t="s">
        <v>61</v>
      </c>
      <c r="C399" s="12">
        <v>41.811700000000002</v>
      </c>
      <c r="D399" s="28">
        <v>0.69119444399999996</v>
      </c>
      <c r="E399" s="19">
        <f t="shared" si="6"/>
        <v>41.811700000000002</v>
      </c>
      <c r="F399" s="19">
        <f>C399*'Model Inputs'!$B$20</f>
        <v>2.9268190000000005</v>
      </c>
      <c r="G399" s="31">
        <f>C399*'Model Inputs'!$B$21</f>
        <v>4.5992870000000005E-3</v>
      </c>
    </row>
    <row r="400" spans="1:7">
      <c r="A400" s="8" t="s">
        <v>70</v>
      </c>
      <c r="B400" s="4" t="s">
        <v>64</v>
      </c>
      <c r="C400" s="12">
        <v>42.111899999999999</v>
      </c>
      <c r="D400" s="28">
        <v>0.72541666699999996</v>
      </c>
      <c r="E400" s="19">
        <f t="shared" si="6"/>
        <v>42.111899999999999</v>
      </c>
      <c r="F400" s="19">
        <f>C400*'Model Inputs'!$B$20</f>
        <v>2.9478330000000001</v>
      </c>
      <c r="G400" s="31">
        <f>C400*'Model Inputs'!$B$21</f>
        <v>4.6323090000000003E-3</v>
      </c>
    </row>
    <row r="401" spans="1:7">
      <c r="A401" s="8" t="s">
        <v>70</v>
      </c>
      <c r="B401" s="4" t="s">
        <v>67</v>
      </c>
      <c r="C401" s="12">
        <v>23.083200000000001</v>
      </c>
      <c r="D401" s="28">
        <v>0.33463888899999999</v>
      </c>
      <c r="E401" s="19">
        <f t="shared" si="6"/>
        <v>23.083200000000001</v>
      </c>
      <c r="F401" s="19">
        <f>C401*'Model Inputs'!$B$20</f>
        <v>1.6158240000000001</v>
      </c>
      <c r="G401" s="31">
        <f>C401*'Model Inputs'!$B$21</f>
        <v>2.5391520000000002E-3</v>
      </c>
    </row>
    <row r="402" spans="1:7">
      <c r="A402" s="8" t="s">
        <v>70</v>
      </c>
      <c r="B402" s="4" t="s">
        <v>73</v>
      </c>
      <c r="C402" s="12">
        <v>15.983599999999999</v>
      </c>
      <c r="D402" s="28">
        <v>0.33063888899999999</v>
      </c>
      <c r="E402" s="19">
        <f t="shared" si="6"/>
        <v>15.983599999999999</v>
      </c>
      <c r="F402" s="19">
        <f>C402*'Model Inputs'!$B$20</f>
        <v>1.118852</v>
      </c>
      <c r="G402" s="31">
        <f>C402*'Model Inputs'!$B$21</f>
        <v>1.7581960000000001E-3</v>
      </c>
    </row>
    <row r="403" spans="1:7">
      <c r="A403" s="8" t="s">
        <v>70</v>
      </c>
      <c r="B403" s="4" t="s">
        <v>76</v>
      </c>
      <c r="C403" s="12">
        <v>34.6693</v>
      </c>
      <c r="D403" s="28">
        <v>0.52833333299999996</v>
      </c>
      <c r="E403" s="19">
        <f t="shared" si="6"/>
        <v>34.6693</v>
      </c>
      <c r="F403" s="19">
        <f>C403*'Model Inputs'!$B$20</f>
        <v>2.4268510000000001</v>
      </c>
      <c r="G403" s="31">
        <f>C403*'Model Inputs'!$B$21</f>
        <v>3.8136229999999999E-3</v>
      </c>
    </row>
    <row r="404" spans="1:7">
      <c r="A404" s="8" t="s">
        <v>70</v>
      </c>
      <c r="B404" s="4" t="s">
        <v>79</v>
      </c>
      <c r="C404" s="12">
        <v>29.6343</v>
      </c>
      <c r="D404" s="28">
        <v>0.498611111</v>
      </c>
      <c r="E404" s="19">
        <f t="shared" si="6"/>
        <v>29.6343</v>
      </c>
      <c r="F404" s="19">
        <f>C404*'Model Inputs'!$B$20</f>
        <v>2.0744010000000004</v>
      </c>
      <c r="G404" s="31">
        <f>C404*'Model Inputs'!$B$21</f>
        <v>3.2597730000000001E-3</v>
      </c>
    </row>
    <row r="405" spans="1:7">
      <c r="A405" s="8" t="s">
        <v>70</v>
      </c>
      <c r="B405" s="4" t="s">
        <v>82</v>
      </c>
      <c r="C405" s="12">
        <v>50.558</v>
      </c>
      <c r="D405" s="28">
        <v>0.67711111099999999</v>
      </c>
      <c r="E405" s="19">
        <f t="shared" si="6"/>
        <v>50.558</v>
      </c>
      <c r="F405" s="19">
        <f>C405*'Model Inputs'!$B$20</f>
        <v>3.5390600000000005</v>
      </c>
      <c r="G405" s="31">
        <f>C405*'Model Inputs'!$B$21</f>
        <v>5.5613800000000003E-3</v>
      </c>
    </row>
    <row r="406" spans="1:7">
      <c r="A406" s="8" t="s">
        <v>70</v>
      </c>
      <c r="B406" s="4" t="s">
        <v>85</v>
      </c>
      <c r="C406" s="12">
        <v>37.137300000000003</v>
      </c>
      <c r="D406" s="28">
        <v>0.61599999999999999</v>
      </c>
      <c r="E406" s="19">
        <f t="shared" si="6"/>
        <v>37.137300000000003</v>
      </c>
      <c r="F406" s="19">
        <f>C406*'Model Inputs'!$B$20</f>
        <v>2.5996110000000003</v>
      </c>
      <c r="G406" s="31">
        <f>C406*'Model Inputs'!$B$21</f>
        <v>4.0851030000000005E-3</v>
      </c>
    </row>
    <row r="407" spans="1:7">
      <c r="A407" s="8" t="s">
        <v>70</v>
      </c>
      <c r="B407" s="4" t="s">
        <v>89</v>
      </c>
      <c r="C407" s="12">
        <v>18.135999999999999</v>
      </c>
      <c r="D407" s="28">
        <v>0.397916667</v>
      </c>
      <c r="E407" s="19">
        <f t="shared" si="6"/>
        <v>18.135999999999999</v>
      </c>
      <c r="F407" s="19">
        <f>C407*'Model Inputs'!$B$20</f>
        <v>1.26952</v>
      </c>
      <c r="G407" s="31">
        <f>C407*'Model Inputs'!$B$21</f>
        <v>1.99496E-3</v>
      </c>
    </row>
    <row r="408" spans="1:7">
      <c r="A408" s="8" t="s">
        <v>70</v>
      </c>
      <c r="B408" s="4" t="s">
        <v>92</v>
      </c>
      <c r="C408" s="12">
        <v>36.2774</v>
      </c>
      <c r="D408" s="28">
        <v>0.58866666700000003</v>
      </c>
      <c r="E408" s="19">
        <f t="shared" si="6"/>
        <v>36.2774</v>
      </c>
      <c r="F408" s="19">
        <f>C408*'Model Inputs'!$B$20</f>
        <v>2.5394180000000004</v>
      </c>
      <c r="G408" s="31">
        <f>C408*'Model Inputs'!$B$21</f>
        <v>3.9905140000000006E-3</v>
      </c>
    </row>
    <row r="409" spans="1:7">
      <c r="A409" s="8" t="s">
        <v>70</v>
      </c>
      <c r="B409" s="4" t="s">
        <v>95</v>
      </c>
      <c r="C409" s="12">
        <v>11.7425</v>
      </c>
      <c r="D409" s="28">
        <v>0.27338888900000002</v>
      </c>
      <c r="E409" s="19">
        <f t="shared" si="6"/>
        <v>11.7425</v>
      </c>
      <c r="F409" s="19">
        <f>C409*'Model Inputs'!$B$20</f>
        <v>0.82197500000000001</v>
      </c>
      <c r="G409" s="31">
        <f>C409*'Model Inputs'!$B$21</f>
        <v>1.2916749999999999E-3</v>
      </c>
    </row>
    <row r="410" spans="1:7">
      <c r="A410" s="8" t="s">
        <v>73</v>
      </c>
      <c r="B410" s="4" t="s">
        <v>2</v>
      </c>
      <c r="C410" s="12">
        <v>20.185400000000001</v>
      </c>
      <c r="D410" s="28">
        <v>0.47383333300000002</v>
      </c>
      <c r="E410" s="19">
        <f t="shared" si="6"/>
        <v>20.185400000000001</v>
      </c>
      <c r="F410" s="19">
        <f>C410*'Model Inputs'!$B$20</f>
        <v>1.4129780000000003</v>
      </c>
      <c r="G410" s="31">
        <f>C410*'Model Inputs'!$B$21</f>
        <v>2.2203940000000001E-3</v>
      </c>
    </row>
    <row r="411" spans="1:7">
      <c r="A411" s="8" t="s">
        <v>73</v>
      </c>
      <c r="B411" s="4" t="s">
        <v>18</v>
      </c>
      <c r="C411" s="12">
        <v>20.604199999999999</v>
      </c>
      <c r="D411" s="28">
        <v>0.50697222200000003</v>
      </c>
      <c r="E411" s="19">
        <f t="shared" si="6"/>
        <v>20.604199999999999</v>
      </c>
      <c r="F411" s="19">
        <f>C411*'Model Inputs'!$B$20</f>
        <v>1.442294</v>
      </c>
      <c r="G411" s="31">
        <f>C411*'Model Inputs'!$B$21</f>
        <v>2.2664619999999999E-3</v>
      </c>
    </row>
    <row r="412" spans="1:7">
      <c r="A412" s="8" t="s">
        <v>73</v>
      </c>
      <c r="B412" s="4" t="s">
        <v>23</v>
      </c>
      <c r="C412" s="12">
        <v>21.9709</v>
      </c>
      <c r="D412" s="28">
        <v>0.43013888900000002</v>
      </c>
      <c r="E412" s="19">
        <f t="shared" si="6"/>
        <v>21.9709</v>
      </c>
      <c r="F412" s="19">
        <f>C412*'Model Inputs'!$B$20</f>
        <v>1.5379630000000002</v>
      </c>
      <c r="G412" s="31">
        <f>C412*'Model Inputs'!$B$21</f>
        <v>2.4167990000000003E-3</v>
      </c>
    </row>
    <row r="413" spans="1:7">
      <c r="A413" s="8" t="s">
        <v>73</v>
      </c>
      <c r="B413" s="4" t="s">
        <v>27</v>
      </c>
      <c r="C413" s="12">
        <v>28.0943</v>
      </c>
      <c r="D413" s="28">
        <v>0.64438888900000002</v>
      </c>
      <c r="E413" s="19">
        <f t="shared" si="6"/>
        <v>28.0943</v>
      </c>
      <c r="F413" s="19">
        <f>C413*'Model Inputs'!$B$20</f>
        <v>1.9666010000000003</v>
      </c>
      <c r="G413" s="31">
        <f>C413*'Model Inputs'!$B$21</f>
        <v>3.090373E-3</v>
      </c>
    </row>
    <row r="414" spans="1:7">
      <c r="A414" s="8" t="s">
        <v>73</v>
      </c>
      <c r="B414" s="4" t="s">
        <v>31</v>
      </c>
      <c r="C414" s="12">
        <v>39.469000000000001</v>
      </c>
      <c r="D414" s="28">
        <v>0.75527777799999996</v>
      </c>
      <c r="E414" s="19">
        <f t="shared" si="6"/>
        <v>39.469000000000001</v>
      </c>
      <c r="F414" s="19">
        <f>C414*'Model Inputs'!$B$20</f>
        <v>2.7628300000000006</v>
      </c>
      <c r="G414" s="31">
        <f>C414*'Model Inputs'!$B$21</f>
        <v>4.3415900000000002E-3</v>
      </c>
    </row>
    <row r="415" spans="1:7">
      <c r="A415" s="8" t="s">
        <v>73</v>
      </c>
      <c r="B415" s="4" t="s">
        <v>35</v>
      </c>
      <c r="C415" s="12">
        <v>31.650400000000001</v>
      </c>
      <c r="D415" s="28">
        <v>0.55072222199999998</v>
      </c>
      <c r="E415" s="19">
        <f t="shared" si="6"/>
        <v>31.650400000000001</v>
      </c>
      <c r="F415" s="19">
        <f>C415*'Model Inputs'!$B$20</f>
        <v>2.2155280000000004</v>
      </c>
      <c r="G415" s="31">
        <f>C415*'Model Inputs'!$B$21</f>
        <v>3.481544E-3</v>
      </c>
    </row>
    <row r="416" spans="1:7">
      <c r="A416" s="8" t="s">
        <v>73</v>
      </c>
      <c r="B416" s="4" t="s">
        <v>38</v>
      </c>
      <c r="C416" s="12">
        <v>58.867199999999997</v>
      </c>
      <c r="D416" s="28">
        <v>0.98805555599999995</v>
      </c>
      <c r="E416" s="19">
        <f t="shared" si="6"/>
        <v>58.867199999999997</v>
      </c>
      <c r="F416" s="19">
        <f>C416*'Model Inputs'!$B$20</f>
        <v>4.1207039999999999</v>
      </c>
      <c r="G416" s="31">
        <f>C416*'Model Inputs'!$B$21</f>
        <v>6.475392E-3</v>
      </c>
    </row>
    <row r="417" spans="1:7">
      <c r="A417" s="8" t="s">
        <v>73</v>
      </c>
      <c r="B417" s="4" t="s">
        <v>42</v>
      </c>
      <c r="C417" s="12">
        <v>35.186500000000002</v>
      </c>
      <c r="D417" s="28">
        <v>0.60361111099999998</v>
      </c>
      <c r="E417" s="19">
        <f t="shared" si="6"/>
        <v>35.186500000000002</v>
      </c>
      <c r="F417" s="19">
        <f>C417*'Model Inputs'!$B$20</f>
        <v>2.4630550000000002</v>
      </c>
      <c r="G417" s="31">
        <f>C417*'Model Inputs'!$B$21</f>
        <v>3.8705150000000006E-3</v>
      </c>
    </row>
    <row r="418" spans="1:7">
      <c r="A418" s="8" t="s">
        <v>73</v>
      </c>
      <c r="B418" s="4" t="s">
        <v>46</v>
      </c>
      <c r="C418" s="12">
        <v>36.551499999999997</v>
      </c>
      <c r="D418" s="28">
        <v>0.64188888899999996</v>
      </c>
      <c r="E418" s="19">
        <f t="shared" si="6"/>
        <v>36.551499999999997</v>
      </c>
      <c r="F418" s="19">
        <f>C418*'Model Inputs'!$B$20</f>
        <v>2.558605</v>
      </c>
      <c r="G418" s="31">
        <f>C418*'Model Inputs'!$B$21</f>
        <v>4.0206649999999997E-3</v>
      </c>
    </row>
    <row r="419" spans="1:7">
      <c r="A419" s="8" t="s">
        <v>73</v>
      </c>
      <c r="B419" s="4" t="s">
        <v>49</v>
      </c>
      <c r="C419" s="12">
        <v>55.402799999999999</v>
      </c>
      <c r="D419" s="28">
        <v>0.994166667</v>
      </c>
      <c r="E419" s="19">
        <f t="shared" si="6"/>
        <v>55.402799999999999</v>
      </c>
      <c r="F419" s="19">
        <f>C419*'Model Inputs'!$B$20</f>
        <v>3.8781960000000004</v>
      </c>
      <c r="G419" s="31">
        <f>C419*'Model Inputs'!$B$21</f>
        <v>6.0943080000000005E-3</v>
      </c>
    </row>
    <row r="420" spans="1:7">
      <c r="A420" s="8" t="s">
        <v>73</v>
      </c>
      <c r="B420" s="4" t="s">
        <v>52</v>
      </c>
      <c r="C420" s="12">
        <v>18.8123</v>
      </c>
      <c r="D420" s="28">
        <v>0.48533333299999998</v>
      </c>
      <c r="E420" s="19">
        <f t="shared" si="6"/>
        <v>18.8123</v>
      </c>
      <c r="F420" s="19">
        <f>C420*'Model Inputs'!$B$20</f>
        <v>1.3168610000000001</v>
      </c>
      <c r="G420" s="31">
        <f>C420*'Model Inputs'!$B$21</f>
        <v>2.0693530000000003E-3</v>
      </c>
    </row>
    <row r="421" spans="1:7">
      <c r="A421" s="8" t="s">
        <v>73</v>
      </c>
      <c r="B421" s="4" t="s">
        <v>55</v>
      </c>
      <c r="C421" s="12">
        <v>26.879100000000001</v>
      </c>
      <c r="D421" s="28">
        <v>0.638833333</v>
      </c>
      <c r="E421" s="19">
        <f t="shared" si="6"/>
        <v>26.879100000000001</v>
      </c>
      <c r="F421" s="19">
        <f>C421*'Model Inputs'!$B$20</f>
        <v>1.8815370000000002</v>
      </c>
      <c r="G421" s="31">
        <f>C421*'Model Inputs'!$B$21</f>
        <v>2.9567010000000004E-3</v>
      </c>
    </row>
    <row r="422" spans="1:7">
      <c r="A422" s="8" t="s">
        <v>73</v>
      </c>
      <c r="B422" s="4" t="s">
        <v>58</v>
      </c>
      <c r="C422" s="12">
        <v>23.540099999999999</v>
      </c>
      <c r="D422" s="28">
        <v>0.44661111100000001</v>
      </c>
      <c r="E422" s="19">
        <f t="shared" si="6"/>
        <v>23.540099999999999</v>
      </c>
      <c r="F422" s="19">
        <f>C422*'Model Inputs'!$B$20</f>
        <v>1.647807</v>
      </c>
      <c r="G422" s="31">
        <f>C422*'Model Inputs'!$B$21</f>
        <v>2.5894109999999998E-3</v>
      </c>
    </row>
    <row r="423" spans="1:7">
      <c r="A423" s="8" t="s">
        <v>73</v>
      </c>
      <c r="B423" s="4" t="s">
        <v>61</v>
      </c>
      <c r="C423" s="12">
        <v>38.159999999999997</v>
      </c>
      <c r="D423" s="28">
        <v>0.64497222200000004</v>
      </c>
      <c r="E423" s="19">
        <f t="shared" si="6"/>
        <v>38.159999999999997</v>
      </c>
      <c r="F423" s="19">
        <f>C423*'Model Inputs'!$B$20</f>
        <v>2.6711999999999998</v>
      </c>
      <c r="G423" s="31">
        <f>C423*'Model Inputs'!$B$21</f>
        <v>4.1976000000000001E-3</v>
      </c>
    </row>
    <row r="424" spans="1:7">
      <c r="A424" s="8" t="s">
        <v>73</v>
      </c>
      <c r="B424" s="4" t="s">
        <v>64</v>
      </c>
      <c r="C424" s="12">
        <v>42.7926</v>
      </c>
      <c r="D424" s="28">
        <v>0.81525000000000003</v>
      </c>
      <c r="E424" s="19">
        <f t="shared" si="6"/>
        <v>42.7926</v>
      </c>
      <c r="F424" s="19">
        <f>C424*'Model Inputs'!$B$20</f>
        <v>2.9954820000000004</v>
      </c>
      <c r="G424" s="31">
        <f>C424*'Model Inputs'!$B$21</f>
        <v>4.7071860000000004E-3</v>
      </c>
    </row>
    <row r="425" spans="1:7">
      <c r="A425" s="8" t="s">
        <v>73</v>
      </c>
      <c r="B425" s="4" t="s">
        <v>67</v>
      </c>
      <c r="C425" s="12">
        <v>7.8360000000000003</v>
      </c>
      <c r="D425" s="28">
        <v>0.21186111099999999</v>
      </c>
      <c r="E425" s="19">
        <f t="shared" si="6"/>
        <v>7.8360000000000003</v>
      </c>
      <c r="F425" s="19">
        <f>C425*'Model Inputs'!$B$20</f>
        <v>0.54852000000000012</v>
      </c>
      <c r="G425" s="31">
        <f>C425*'Model Inputs'!$B$21</f>
        <v>8.6196000000000005E-4</v>
      </c>
    </row>
    <row r="426" spans="1:7">
      <c r="A426" s="8" t="s">
        <v>73</v>
      </c>
      <c r="B426" s="4" t="s">
        <v>70</v>
      </c>
      <c r="C426" s="12">
        <v>19.2547</v>
      </c>
      <c r="D426" s="28">
        <v>0.40480555600000001</v>
      </c>
      <c r="E426" s="19">
        <f t="shared" si="6"/>
        <v>19.2547</v>
      </c>
      <c r="F426" s="19">
        <f>C426*'Model Inputs'!$B$20</f>
        <v>1.3478290000000002</v>
      </c>
      <c r="G426" s="31">
        <f>C426*'Model Inputs'!$B$21</f>
        <v>2.1180170000000003E-3</v>
      </c>
    </row>
    <row r="427" spans="1:7">
      <c r="A427" s="8" t="s">
        <v>73</v>
      </c>
      <c r="B427" s="4" t="s">
        <v>76</v>
      </c>
      <c r="C427" s="12">
        <v>21.899100000000001</v>
      </c>
      <c r="D427" s="28">
        <v>0.41244444400000002</v>
      </c>
      <c r="E427" s="19">
        <f t="shared" si="6"/>
        <v>21.899100000000001</v>
      </c>
      <c r="F427" s="19">
        <f>C427*'Model Inputs'!$B$20</f>
        <v>1.5329370000000002</v>
      </c>
      <c r="G427" s="31">
        <f>C427*'Model Inputs'!$B$21</f>
        <v>2.4089010000000002E-3</v>
      </c>
    </row>
    <row r="428" spans="1:7">
      <c r="A428" s="8" t="s">
        <v>73</v>
      </c>
      <c r="B428" s="4" t="s">
        <v>79</v>
      </c>
      <c r="C428" s="12">
        <v>16.864100000000001</v>
      </c>
      <c r="D428" s="28">
        <v>0.382722222</v>
      </c>
      <c r="E428" s="19">
        <f t="shared" si="6"/>
        <v>16.864100000000001</v>
      </c>
      <c r="F428" s="19">
        <f>C428*'Model Inputs'!$B$20</f>
        <v>1.1804870000000001</v>
      </c>
      <c r="G428" s="31">
        <f>C428*'Model Inputs'!$B$21</f>
        <v>1.8550510000000001E-3</v>
      </c>
    </row>
    <row r="429" spans="1:7">
      <c r="A429" s="8" t="s">
        <v>73</v>
      </c>
      <c r="B429" s="4" t="s">
        <v>82</v>
      </c>
      <c r="C429" s="12">
        <v>27.4481</v>
      </c>
      <c r="D429" s="28">
        <v>0.56947222200000003</v>
      </c>
      <c r="E429" s="19">
        <f t="shared" si="6"/>
        <v>27.4481</v>
      </c>
      <c r="F429" s="19">
        <f>C429*'Model Inputs'!$B$20</f>
        <v>1.9213670000000003</v>
      </c>
      <c r="G429" s="31">
        <f>C429*'Model Inputs'!$B$21</f>
        <v>3.0192910000000003E-3</v>
      </c>
    </row>
    <row r="430" spans="1:7">
      <c r="A430" s="8" t="s">
        <v>73</v>
      </c>
      <c r="B430" s="4" t="s">
        <v>85</v>
      </c>
      <c r="C430" s="12">
        <v>38.790799999999997</v>
      </c>
      <c r="D430" s="28">
        <v>0.67074999999999996</v>
      </c>
      <c r="E430" s="19">
        <f t="shared" si="6"/>
        <v>38.790799999999997</v>
      </c>
      <c r="F430" s="19">
        <f>C430*'Model Inputs'!$B$20</f>
        <v>2.7153559999999999</v>
      </c>
      <c r="G430" s="31">
        <f>C430*'Model Inputs'!$B$21</f>
        <v>4.2669880000000002E-3</v>
      </c>
    </row>
    <row r="431" spans="1:7">
      <c r="A431" s="8" t="s">
        <v>73</v>
      </c>
      <c r="B431" s="4" t="s">
        <v>89</v>
      </c>
      <c r="C431" s="12">
        <v>15.775700000000001</v>
      </c>
      <c r="D431" s="28">
        <v>0.40236111099999999</v>
      </c>
      <c r="E431" s="19">
        <f t="shared" si="6"/>
        <v>15.775700000000001</v>
      </c>
      <c r="F431" s="19">
        <f>C431*'Model Inputs'!$B$20</f>
        <v>1.1042990000000001</v>
      </c>
      <c r="G431" s="31">
        <f>C431*'Model Inputs'!$B$21</f>
        <v>1.7353270000000001E-3</v>
      </c>
    </row>
    <row r="432" spans="1:7">
      <c r="A432" s="8" t="s">
        <v>73</v>
      </c>
      <c r="B432" s="4" t="s">
        <v>92</v>
      </c>
      <c r="C432" s="12">
        <v>23.507200000000001</v>
      </c>
      <c r="D432" s="28">
        <v>0.47277777799999998</v>
      </c>
      <c r="E432" s="19">
        <f t="shared" si="6"/>
        <v>23.507200000000001</v>
      </c>
      <c r="F432" s="19">
        <f>C432*'Model Inputs'!$B$20</f>
        <v>1.6455040000000003</v>
      </c>
      <c r="G432" s="31">
        <f>C432*'Model Inputs'!$B$21</f>
        <v>2.5857920000000004E-3</v>
      </c>
    </row>
    <row r="433" spans="1:7">
      <c r="A433" s="8" t="s">
        <v>73</v>
      </c>
      <c r="B433" s="4" t="s">
        <v>95</v>
      </c>
      <c r="C433" s="12">
        <v>18.665500000000002</v>
      </c>
      <c r="D433" s="28">
        <v>0.47194444400000002</v>
      </c>
      <c r="E433" s="19">
        <f t="shared" si="6"/>
        <v>18.665500000000002</v>
      </c>
      <c r="F433" s="19">
        <f>C433*'Model Inputs'!$B$20</f>
        <v>1.3065850000000003</v>
      </c>
      <c r="G433" s="31">
        <f>C433*'Model Inputs'!$B$21</f>
        <v>2.0532050000000002E-3</v>
      </c>
    </row>
    <row r="434" spans="1:7">
      <c r="A434" s="8" t="s">
        <v>76</v>
      </c>
      <c r="B434" s="4" t="s">
        <v>2</v>
      </c>
      <c r="C434" s="12">
        <v>24.938600000000001</v>
      </c>
      <c r="D434" s="28">
        <v>0.44244444399999999</v>
      </c>
      <c r="E434" s="19">
        <f t="shared" si="6"/>
        <v>24.938600000000001</v>
      </c>
      <c r="F434" s="19">
        <f>C434*'Model Inputs'!$B$20</f>
        <v>1.7457020000000003</v>
      </c>
      <c r="G434" s="31">
        <f>C434*'Model Inputs'!$B$21</f>
        <v>2.7432460000000004E-3</v>
      </c>
    </row>
    <row r="435" spans="1:7">
      <c r="A435" s="8" t="s">
        <v>76</v>
      </c>
      <c r="B435" s="4" t="s">
        <v>18</v>
      </c>
      <c r="C435" s="12">
        <v>15.65</v>
      </c>
      <c r="D435" s="28">
        <v>0.34991666700000001</v>
      </c>
      <c r="E435" s="19">
        <f t="shared" si="6"/>
        <v>15.65</v>
      </c>
      <c r="F435" s="19">
        <f>C435*'Model Inputs'!$B$20</f>
        <v>1.0955000000000001</v>
      </c>
      <c r="G435" s="31">
        <f>C435*'Model Inputs'!$B$21</f>
        <v>1.7215000000000002E-3</v>
      </c>
    </row>
    <row r="436" spans="1:7">
      <c r="A436" s="8" t="s">
        <v>76</v>
      </c>
      <c r="B436" s="4" t="s">
        <v>23</v>
      </c>
      <c r="C436" s="12">
        <v>10.361499999999999</v>
      </c>
      <c r="D436" s="28">
        <v>0.230944444</v>
      </c>
      <c r="E436" s="19">
        <f t="shared" si="6"/>
        <v>10.361499999999999</v>
      </c>
      <c r="F436" s="19">
        <f>C436*'Model Inputs'!$B$20</f>
        <v>0.72530500000000009</v>
      </c>
      <c r="G436" s="31">
        <f>C436*'Model Inputs'!$B$21</f>
        <v>1.139765E-3</v>
      </c>
    </row>
    <row r="437" spans="1:7">
      <c r="A437" s="8" t="s">
        <v>76</v>
      </c>
      <c r="B437" s="4" t="s">
        <v>27</v>
      </c>
      <c r="C437" s="12">
        <v>26.8658</v>
      </c>
      <c r="D437" s="28">
        <v>0.43619444400000001</v>
      </c>
      <c r="E437" s="19">
        <f t="shared" si="6"/>
        <v>26.8658</v>
      </c>
      <c r="F437" s="19">
        <f>C437*'Model Inputs'!$B$20</f>
        <v>1.8806060000000002</v>
      </c>
      <c r="G437" s="31">
        <f>C437*'Model Inputs'!$B$21</f>
        <v>2.9552380000000002E-3</v>
      </c>
    </row>
    <row r="438" spans="1:7">
      <c r="A438" s="8" t="s">
        <v>76</v>
      </c>
      <c r="B438" s="4" t="s">
        <v>31</v>
      </c>
      <c r="C438" s="12">
        <v>30.607600000000001</v>
      </c>
      <c r="D438" s="28">
        <v>0.50011111100000005</v>
      </c>
      <c r="E438" s="19">
        <f t="shared" si="6"/>
        <v>30.607600000000001</v>
      </c>
      <c r="F438" s="19">
        <f>C438*'Model Inputs'!$B$20</f>
        <v>2.1425320000000001</v>
      </c>
      <c r="G438" s="31">
        <f>C438*'Model Inputs'!$B$21</f>
        <v>3.3668360000000002E-3</v>
      </c>
    </row>
    <row r="439" spans="1:7">
      <c r="A439" s="8" t="s">
        <v>76</v>
      </c>
      <c r="B439" s="4" t="s">
        <v>35</v>
      </c>
      <c r="C439" s="12">
        <v>16.9802</v>
      </c>
      <c r="D439" s="28">
        <v>0.26969444399999998</v>
      </c>
      <c r="E439" s="19">
        <f t="shared" si="6"/>
        <v>16.9802</v>
      </c>
      <c r="F439" s="19">
        <f>C439*'Model Inputs'!$B$20</f>
        <v>1.1886140000000001</v>
      </c>
      <c r="G439" s="31">
        <f>C439*'Model Inputs'!$B$21</f>
        <v>1.8678220000000001E-3</v>
      </c>
    </row>
    <row r="440" spans="1:7">
      <c r="A440" s="8" t="s">
        <v>76</v>
      </c>
      <c r="B440" s="4" t="s">
        <v>38</v>
      </c>
      <c r="C440" s="12">
        <v>55.164900000000003</v>
      </c>
      <c r="D440" s="28">
        <v>0.74924999999999997</v>
      </c>
      <c r="E440" s="19">
        <f t="shared" si="6"/>
        <v>55.164900000000003</v>
      </c>
      <c r="F440" s="19">
        <f>C440*'Model Inputs'!$B$20</f>
        <v>3.8615430000000006</v>
      </c>
      <c r="G440" s="31">
        <f>C440*'Model Inputs'!$B$21</f>
        <v>6.0681390000000002E-3</v>
      </c>
    </row>
    <row r="441" spans="1:7">
      <c r="A441" s="8" t="s">
        <v>76</v>
      </c>
      <c r="B441" s="4" t="s">
        <v>42</v>
      </c>
      <c r="C441" s="12">
        <v>20.516300000000001</v>
      </c>
      <c r="D441" s="28">
        <v>0.32258333300000003</v>
      </c>
      <c r="E441" s="19">
        <f t="shared" si="6"/>
        <v>20.516300000000001</v>
      </c>
      <c r="F441" s="19">
        <f>C441*'Model Inputs'!$B$20</f>
        <v>1.4361410000000001</v>
      </c>
      <c r="G441" s="31">
        <f>C441*'Model Inputs'!$B$21</f>
        <v>2.256793E-3</v>
      </c>
    </row>
    <row r="442" spans="1:7">
      <c r="A442" s="8" t="s">
        <v>76</v>
      </c>
      <c r="B442" s="4" t="s">
        <v>46</v>
      </c>
      <c r="C442" s="12">
        <v>21.8813</v>
      </c>
      <c r="D442" s="28">
        <v>0.36086111100000001</v>
      </c>
      <c r="E442" s="19">
        <f t="shared" si="6"/>
        <v>21.8813</v>
      </c>
      <c r="F442" s="19">
        <f>C442*'Model Inputs'!$B$20</f>
        <v>1.5316910000000001</v>
      </c>
      <c r="G442" s="31">
        <f>C442*'Model Inputs'!$B$21</f>
        <v>2.4069429999999999E-3</v>
      </c>
    </row>
    <row r="443" spans="1:7">
      <c r="A443" s="8" t="s">
        <v>76</v>
      </c>
      <c r="B443" s="4" t="s">
        <v>49</v>
      </c>
      <c r="C443" s="12">
        <v>50.530999999999999</v>
      </c>
      <c r="D443" s="28">
        <v>0.72461111099999997</v>
      </c>
      <c r="E443" s="19">
        <f t="shared" si="6"/>
        <v>50.530999999999999</v>
      </c>
      <c r="F443" s="19">
        <f>C443*'Model Inputs'!$B$20</f>
        <v>3.5371700000000001</v>
      </c>
      <c r="G443" s="31">
        <f>C443*'Model Inputs'!$B$21</f>
        <v>5.5584099999999997E-3</v>
      </c>
    </row>
    <row r="444" spans="1:7">
      <c r="A444" s="8" t="s">
        <v>76</v>
      </c>
      <c r="B444" s="4" t="s">
        <v>52</v>
      </c>
      <c r="C444" s="12">
        <v>29.221399999999999</v>
      </c>
      <c r="D444" s="28">
        <v>0.59366666700000004</v>
      </c>
      <c r="E444" s="19">
        <f t="shared" si="6"/>
        <v>29.221399999999999</v>
      </c>
      <c r="F444" s="19">
        <f>C444*'Model Inputs'!$B$20</f>
        <v>2.0454980000000003</v>
      </c>
      <c r="G444" s="31">
        <f>C444*'Model Inputs'!$B$21</f>
        <v>3.214354E-3</v>
      </c>
    </row>
    <row r="445" spans="1:7">
      <c r="A445" s="8" t="s">
        <v>76</v>
      </c>
      <c r="B445" s="4" t="s">
        <v>55</v>
      </c>
      <c r="C445" s="12">
        <v>36.546999999999997</v>
      </c>
      <c r="D445" s="28">
        <v>0.58280555599999995</v>
      </c>
      <c r="E445" s="19">
        <f t="shared" si="6"/>
        <v>36.546999999999997</v>
      </c>
      <c r="F445" s="19">
        <f>C445*'Model Inputs'!$B$20</f>
        <v>2.55829</v>
      </c>
      <c r="G445" s="31">
        <f>C445*'Model Inputs'!$B$21</f>
        <v>4.02017E-3</v>
      </c>
    </row>
    <row r="446" spans="1:7">
      <c r="A446" s="8" t="s">
        <v>76</v>
      </c>
      <c r="B446" s="4" t="s">
        <v>58</v>
      </c>
      <c r="C446" s="12">
        <v>31.997900000000001</v>
      </c>
      <c r="D446" s="28">
        <v>0.62072222200000005</v>
      </c>
      <c r="E446" s="19">
        <f t="shared" si="6"/>
        <v>31.997900000000001</v>
      </c>
      <c r="F446" s="19">
        <f>C446*'Model Inputs'!$B$20</f>
        <v>2.2398530000000001</v>
      </c>
      <c r="G446" s="31">
        <f>C446*'Model Inputs'!$B$21</f>
        <v>3.5197690000000003E-3</v>
      </c>
    </row>
    <row r="447" spans="1:7">
      <c r="A447" s="8" t="s">
        <v>76</v>
      </c>
      <c r="B447" s="4" t="s">
        <v>61</v>
      </c>
      <c r="C447" s="12">
        <v>23.489799999999999</v>
      </c>
      <c r="D447" s="28">
        <v>0.36394444399999998</v>
      </c>
      <c r="E447" s="19">
        <f t="shared" si="6"/>
        <v>23.489799999999999</v>
      </c>
      <c r="F447" s="19">
        <f>C447*'Model Inputs'!$B$20</f>
        <v>1.6442860000000001</v>
      </c>
      <c r="G447" s="31">
        <f>C447*'Model Inputs'!$B$21</f>
        <v>2.583878E-3</v>
      </c>
    </row>
    <row r="448" spans="1:7">
      <c r="A448" s="8" t="s">
        <v>76</v>
      </c>
      <c r="B448" s="4" t="s">
        <v>64</v>
      </c>
      <c r="C448" s="12">
        <v>40.337000000000003</v>
      </c>
      <c r="D448" s="28">
        <v>0.54977777800000005</v>
      </c>
      <c r="E448" s="19">
        <f t="shared" si="6"/>
        <v>40.337000000000003</v>
      </c>
      <c r="F448" s="19">
        <f>C448*'Model Inputs'!$B$20</f>
        <v>2.8235900000000007</v>
      </c>
      <c r="G448" s="31">
        <f>C448*'Model Inputs'!$B$21</f>
        <v>4.4370700000000004E-3</v>
      </c>
    </row>
    <row r="449" spans="1:7">
      <c r="A449" s="8" t="s">
        <v>76</v>
      </c>
      <c r="B449" s="4" t="s">
        <v>67</v>
      </c>
      <c r="C449" s="12">
        <v>15.424300000000001</v>
      </c>
      <c r="D449" s="28">
        <v>0.25569444400000002</v>
      </c>
      <c r="E449" s="19">
        <f t="shared" si="6"/>
        <v>15.424300000000001</v>
      </c>
      <c r="F449" s="19">
        <f>C449*'Model Inputs'!$B$20</f>
        <v>1.0797010000000002</v>
      </c>
      <c r="G449" s="31">
        <f>C449*'Model Inputs'!$B$21</f>
        <v>1.6966730000000001E-3</v>
      </c>
    </row>
    <row r="450" spans="1:7">
      <c r="A450" s="8" t="s">
        <v>76</v>
      </c>
      <c r="B450" s="4" t="s">
        <v>70</v>
      </c>
      <c r="C450" s="12">
        <v>43.337000000000003</v>
      </c>
      <c r="D450" s="28">
        <v>0.61422222199999998</v>
      </c>
      <c r="E450" s="19">
        <f t="shared" ref="E450:E513" si="7">C450</f>
        <v>43.337000000000003</v>
      </c>
      <c r="F450" s="19">
        <f>C450*'Model Inputs'!$B$20</f>
        <v>3.0335900000000007</v>
      </c>
      <c r="G450" s="31">
        <f>C450*'Model Inputs'!$B$21</f>
        <v>4.7670700000000009E-3</v>
      </c>
    </row>
    <row r="451" spans="1:7">
      <c r="A451" s="8" t="s">
        <v>76</v>
      </c>
      <c r="B451" s="4" t="s">
        <v>73</v>
      </c>
      <c r="C451" s="12">
        <v>23.870699999999999</v>
      </c>
      <c r="D451" s="28">
        <v>0.42886111100000002</v>
      </c>
      <c r="E451" s="19">
        <f t="shared" si="7"/>
        <v>23.870699999999999</v>
      </c>
      <c r="F451" s="19">
        <f>C451*'Model Inputs'!$B$20</f>
        <v>1.670949</v>
      </c>
      <c r="G451" s="31">
        <f>C451*'Model Inputs'!$B$21</f>
        <v>2.6257770000000001E-3</v>
      </c>
    </row>
    <row r="452" spans="1:7">
      <c r="A452" s="8" t="s">
        <v>76</v>
      </c>
      <c r="B452" s="4" t="s">
        <v>79</v>
      </c>
      <c r="C452" s="12">
        <v>8.2736999999999998</v>
      </c>
      <c r="D452" s="28">
        <v>0.24244444400000001</v>
      </c>
      <c r="E452" s="19">
        <f t="shared" si="7"/>
        <v>8.2736999999999998</v>
      </c>
      <c r="F452" s="19">
        <f>C452*'Model Inputs'!$B$20</f>
        <v>0.57915900000000009</v>
      </c>
      <c r="G452" s="31">
        <f>C452*'Model Inputs'!$B$21</f>
        <v>9.1010700000000006E-4</v>
      </c>
    </row>
    <row r="453" spans="1:7">
      <c r="A453" s="8" t="s">
        <v>76</v>
      </c>
      <c r="B453" s="4" t="s">
        <v>82</v>
      </c>
      <c r="C453" s="12">
        <v>11.567399999999999</v>
      </c>
      <c r="D453" s="28">
        <v>0.217027778</v>
      </c>
      <c r="E453" s="19">
        <f t="shared" si="7"/>
        <v>11.567399999999999</v>
      </c>
      <c r="F453" s="19">
        <f>C453*'Model Inputs'!$B$20</f>
        <v>0.80971800000000005</v>
      </c>
      <c r="G453" s="31">
        <f>C453*'Model Inputs'!$B$21</f>
        <v>1.2724139999999999E-3</v>
      </c>
    </row>
    <row r="454" spans="1:7">
      <c r="A454" s="8" t="s">
        <v>76</v>
      </c>
      <c r="B454" s="4" t="s">
        <v>85</v>
      </c>
      <c r="C454" s="12">
        <v>24.1206</v>
      </c>
      <c r="D454" s="28">
        <v>0.38972222200000001</v>
      </c>
      <c r="E454" s="19">
        <f t="shared" si="7"/>
        <v>24.1206</v>
      </c>
      <c r="F454" s="19">
        <f>C454*'Model Inputs'!$B$20</f>
        <v>1.6884420000000002</v>
      </c>
      <c r="G454" s="31">
        <f>C454*'Model Inputs'!$B$21</f>
        <v>2.653266E-3</v>
      </c>
    </row>
    <row r="455" spans="1:7">
      <c r="A455" s="8" t="s">
        <v>76</v>
      </c>
      <c r="B455" s="4" t="s">
        <v>89</v>
      </c>
      <c r="C455" s="12">
        <v>25.1004</v>
      </c>
      <c r="D455" s="28">
        <v>0.50927777799999996</v>
      </c>
      <c r="E455" s="19">
        <f t="shared" si="7"/>
        <v>25.1004</v>
      </c>
      <c r="F455" s="19">
        <f>C455*'Model Inputs'!$B$20</f>
        <v>1.7570280000000003</v>
      </c>
      <c r="G455" s="31">
        <f>C455*'Model Inputs'!$B$21</f>
        <v>2.7610440000000003E-3</v>
      </c>
    </row>
    <row r="456" spans="1:7">
      <c r="A456" s="8" t="s">
        <v>76</v>
      </c>
      <c r="B456" s="4" t="s">
        <v>92</v>
      </c>
      <c r="C456" s="12">
        <v>10.855700000000001</v>
      </c>
      <c r="D456" s="28">
        <v>0.24361111099999999</v>
      </c>
      <c r="E456" s="19">
        <f t="shared" si="7"/>
        <v>10.855700000000001</v>
      </c>
      <c r="F456" s="19">
        <f>C456*'Model Inputs'!$B$20</f>
        <v>0.7598990000000001</v>
      </c>
      <c r="G456" s="31">
        <f>C456*'Model Inputs'!$B$21</f>
        <v>1.1941270000000001E-3</v>
      </c>
    </row>
    <row r="457" spans="1:7">
      <c r="A457" s="8" t="s">
        <v>76</v>
      </c>
      <c r="B457" s="4" t="s">
        <v>95</v>
      </c>
      <c r="C457" s="12">
        <v>29.5869</v>
      </c>
      <c r="D457" s="28">
        <v>0.58466666700000003</v>
      </c>
      <c r="E457" s="19">
        <f t="shared" si="7"/>
        <v>29.5869</v>
      </c>
      <c r="F457" s="19">
        <f>C457*'Model Inputs'!$B$20</f>
        <v>2.0710830000000002</v>
      </c>
      <c r="G457" s="31">
        <f>C457*'Model Inputs'!$B$21</f>
        <v>3.2545590000000002E-3</v>
      </c>
    </row>
    <row r="458" spans="1:7">
      <c r="A458" s="8" t="s">
        <v>79</v>
      </c>
      <c r="B458" s="4" t="s">
        <v>2</v>
      </c>
      <c r="C458" s="12">
        <v>19.639399999999998</v>
      </c>
      <c r="D458" s="28">
        <v>0.52147222199999999</v>
      </c>
      <c r="E458" s="19">
        <f t="shared" si="7"/>
        <v>19.639399999999998</v>
      </c>
      <c r="F458" s="19">
        <f>C458*'Model Inputs'!$B$20</f>
        <v>1.3747579999999999</v>
      </c>
      <c r="G458" s="31">
        <f>C458*'Model Inputs'!$B$21</f>
        <v>2.1603339999999999E-3</v>
      </c>
    </row>
    <row r="459" spans="1:7">
      <c r="A459" s="8" t="s">
        <v>79</v>
      </c>
      <c r="B459" s="4" t="s">
        <v>18</v>
      </c>
      <c r="C459" s="12">
        <v>14.498100000000001</v>
      </c>
      <c r="D459" s="28">
        <v>0.41225000000000001</v>
      </c>
      <c r="E459" s="19">
        <f t="shared" si="7"/>
        <v>14.498100000000001</v>
      </c>
      <c r="F459" s="19">
        <f>C459*'Model Inputs'!$B$20</f>
        <v>1.0148670000000002</v>
      </c>
      <c r="G459" s="31">
        <f>C459*'Model Inputs'!$B$21</f>
        <v>1.5947910000000001E-3</v>
      </c>
    </row>
    <row r="460" spans="1:7">
      <c r="A460" s="8" t="s">
        <v>79</v>
      </c>
      <c r="B460" s="4" t="s">
        <v>23</v>
      </c>
      <c r="C460" s="12">
        <v>9.7673000000000005</v>
      </c>
      <c r="D460" s="28">
        <v>0.29452777800000002</v>
      </c>
      <c r="E460" s="19">
        <f t="shared" si="7"/>
        <v>9.7673000000000005</v>
      </c>
      <c r="F460" s="19">
        <f>C460*'Model Inputs'!$B$20</f>
        <v>0.68371100000000007</v>
      </c>
      <c r="G460" s="31">
        <f>C460*'Model Inputs'!$B$21</f>
        <v>1.074403E-3</v>
      </c>
    </row>
    <row r="461" spans="1:7">
      <c r="A461" s="8" t="s">
        <v>79</v>
      </c>
      <c r="B461" s="4" t="s">
        <v>27</v>
      </c>
      <c r="C461" s="12">
        <v>24.079599999999999</v>
      </c>
      <c r="D461" s="28">
        <v>0.549666667</v>
      </c>
      <c r="E461" s="19">
        <f t="shared" si="7"/>
        <v>24.079599999999999</v>
      </c>
      <c r="F461" s="19">
        <f>C461*'Model Inputs'!$B$20</f>
        <v>1.6855720000000001</v>
      </c>
      <c r="G461" s="31">
        <f>C461*'Model Inputs'!$B$21</f>
        <v>2.6487559999999999E-3</v>
      </c>
    </row>
    <row r="462" spans="1:7">
      <c r="A462" s="8" t="s">
        <v>79</v>
      </c>
      <c r="B462" s="4" t="s">
        <v>31</v>
      </c>
      <c r="C462" s="12">
        <v>27.2654</v>
      </c>
      <c r="D462" s="28">
        <v>0.61966666699999995</v>
      </c>
      <c r="E462" s="19">
        <f t="shared" si="7"/>
        <v>27.2654</v>
      </c>
      <c r="F462" s="19">
        <f>C462*'Model Inputs'!$B$20</f>
        <v>1.9085780000000001</v>
      </c>
      <c r="G462" s="31">
        <f>C462*'Model Inputs'!$B$21</f>
        <v>2.9991940000000002E-3</v>
      </c>
    </row>
    <row r="463" spans="1:7">
      <c r="A463" s="8" t="s">
        <v>79</v>
      </c>
      <c r="B463" s="4" t="s">
        <v>35</v>
      </c>
      <c r="C463" s="12">
        <v>19.4468</v>
      </c>
      <c r="D463" s="28">
        <v>0.41511111099999998</v>
      </c>
      <c r="E463" s="19">
        <f t="shared" si="7"/>
        <v>19.4468</v>
      </c>
      <c r="F463" s="19">
        <f>C463*'Model Inputs'!$B$20</f>
        <v>1.3612760000000002</v>
      </c>
      <c r="G463" s="31">
        <f>C463*'Model Inputs'!$B$21</f>
        <v>2.139148E-3</v>
      </c>
    </row>
    <row r="464" spans="1:7">
      <c r="A464" s="8" t="s">
        <v>79</v>
      </c>
      <c r="B464" s="4" t="s">
        <v>38</v>
      </c>
      <c r="C464" s="12">
        <v>45.416899999999998</v>
      </c>
      <c r="D464" s="28">
        <v>0.87911111099999995</v>
      </c>
      <c r="E464" s="19">
        <f t="shared" si="7"/>
        <v>45.416899999999998</v>
      </c>
      <c r="F464" s="19">
        <f>C464*'Model Inputs'!$B$20</f>
        <v>3.1791830000000001</v>
      </c>
      <c r="G464" s="31">
        <f>C464*'Model Inputs'!$B$21</f>
        <v>4.9958590000000001E-3</v>
      </c>
    </row>
    <row r="465" spans="1:7">
      <c r="A465" s="8" t="s">
        <v>79</v>
      </c>
      <c r="B465" s="4" t="s">
        <v>42</v>
      </c>
      <c r="C465" s="12">
        <v>22.982900000000001</v>
      </c>
      <c r="D465" s="28">
        <v>0.46800000000000003</v>
      </c>
      <c r="E465" s="19">
        <f t="shared" si="7"/>
        <v>22.982900000000001</v>
      </c>
      <c r="F465" s="19">
        <f>C465*'Model Inputs'!$B$20</f>
        <v>1.6088030000000002</v>
      </c>
      <c r="G465" s="31">
        <f>C465*'Model Inputs'!$B$21</f>
        <v>2.5281190000000001E-3</v>
      </c>
    </row>
    <row r="466" spans="1:7">
      <c r="A466" s="8" t="s">
        <v>79</v>
      </c>
      <c r="B466" s="4" t="s">
        <v>46</v>
      </c>
      <c r="C466" s="12">
        <v>24.347899999999999</v>
      </c>
      <c r="D466" s="28">
        <v>0.50627777799999996</v>
      </c>
      <c r="E466" s="19">
        <f t="shared" si="7"/>
        <v>24.347899999999999</v>
      </c>
      <c r="F466" s="19">
        <f>C466*'Model Inputs'!$B$20</f>
        <v>1.704353</v>
      </c>
      <c r="G466" s="31">
        <f>C466*'Model Inputs'!$B$21</f>
        <v>2.678269E-3</v>
      </c>
    </row>
    <row r="467" spans="1:7">
      <c r="A467" s="8" t="s">
        <v>79</v>
      </c>
      <c r="B467" s="4" t="s">
        <v>49</v>
      </c>
      <c r="C467" s="12">
        <v>43.199199999999998</v>
      </c>
      <c r="D467" s="28">
        <v>0.858555556</v>
      </c>
      <c r="E467" s="19">
        <f t="shared" si="7"/>
        <v>43.199199999999998</v>
      </c>
      <c r="F467" s="19">
        <f>C467*'Model Inputs'!$B$20</f>
        <v>3.0239440000000002</v>
      </c>
      <c r="G467" s="31">
        <f>C467*'Model Inputs'!$B$21</f>
        <v>4.7519119999999996E-3</v>
      </c>
    </row>
    <row r="468" spans="1:7">
      <c r="A468" s="8" t="s">
        <v>79</v>
      </c>
      <c r="B468" s="4" t="s">
        <v>52</v>
      </c>
      <c r="C468" s="12">
        <v>24.379899999999999</v>
      </c>
      <c r="D468" s="28">
        <v>0.54649999999999999</v>
      </c>
      <c r="E468" s="19">
        <f t="shared" si="7"/>
        <v>24.379899999999999</v>
      </c>
      <c r="F468" s="19">
        <f>C468*'Model Inputs'!$B$20</f>
        <v>1.706593</v>
      </c>
      <c r="G468" s="31">
        <f>C468*'Model Inputs'!$B$21</f>
        <v>2.681789E-3</v>
      </c>
    </row>
    <row r="469" spans="1:7">
      <c r="A469" s="8" t="s">
        <v>79</v>
      </c>
      <c r="B469" s="4" t="s">
        <v>55</v>
      </c>
      <c r="C469" s="12">
        <v>26.332999999999998</v>
      </c>
      <c r="D469" s="28">
        <v>0.68647222200000002</v>
      </c>
      <c r="E469" s="19">
        <f t="shared" si="7"/>
        <v>26.332999999999998</v>
      </c>
      <c r="F469" s="19">
        <f>C469*'Model Inputs'!$B$20</f>
        <v>1.84331</v>
      </c>
      <c r="G469" s="31">
        <f>C469*'Model Inputs'!$B$21</f>
        <v>2.8966299999999999E-3</v>
      </c>
    </row>
    <row r="470" spans="1:7">
      <c r="A470" s="8" t="s">
        <v>79</v>
      </c>
      <c r="B470" s="4" t="s">
        <v>58</v>
      </c>
      <c r="C470" s="12">
        <v>25.783000000000001</v>
      </c>
      <c r="D470" s="28">
        <v>0.56261111100000005</v>
      </c>
      <c r="E470" s="19">
        <f t="shared" si="7"/>
        <v>25.783000000000001</v>
      </c>
      <c r="F470" s="19">
        <f>C470*'Model Inputs'!$B$20</f>
        <v>1.8048100000000002</v>
      </c>
      <c r="G470" s="31">
        <f>C470*'Model Inputs'!$B$21</f>
        <v>2.8361300000000001E-3</v>
      </c>
    </row>
    <row r="471" spans="1:7">
      <c r="A471" s="8" t="s">
        <v>79</v>
      </c>
      <c r="B471" s="4" t="s">
        <v>61</v>
      </c>
      <c r="C471" s="12">
        <v>25.956399999999999</v>
      </c>
      <c r="D471" s="28">
        <v>0.50936111100000003</v>
      </c>
      <c r="E471" s="19">
        <f t="shared" si="7"/>
        <v>25.956399999999999</v>
      </c>
      <c r="F471" s="19">
        <f>C471*'Model Inputs'!$B$20</f>
        <v>1.816948</v>
      </c>
      <c r="G471" s="31">
        <f>C471*'Model Inputs'!$B$21</f>
        <v>2.8552040000000001E-3</v>
      </c>
    </row>
    <row r="472" spans="1:7">
      <c r="A472" s="8" t="s">
        <v>79</v>
      </c>
      <c r="B472" s="4" t="s">
        <v>64</v>
      </c>
      <c r="C472" s="12">
        <v>30.588999999999999</v>
      </c>
      <c r="D472" s="28">
        <v>0.67963888900000002</v>
      </c>
      <c r="E472" s="19">
        <f t="shared" si="7"/>
        <v>30.588999999999999</v>
      </c>
      <c r="F472" s="19">
        <f>C472*'Model Inputs'!$B$20</f>
        <v>2.1412300000000002</v>
      </c>
      <c r="G472" s="31">
        <f>C472*'Model Inputs'!$B$21</f>
        <v>3.3647899999999999E-3</v>
      </c>
    </row>
    <row r="473" spans="1:7">
      <c r="A473" s="8" t="s">
        <v>79</v>
      </c>
      <c r="B473" s="4" t="s">
        <v>67</v>
      </c>
      <c r="C473" s="12">
        <v>8.3367000000000004</v>
      </c>
      <c r="D473" s="28">
        <v>0.19725000000000001</v>
      </c>
      <c r="E473" s="19">
        <f t="shared" si="7"/>
        <v>8.3367000000000004</v>
      </c>
      <c r="F473" s="19">
        <f>C473*'Model Inputs'!$B$20</f>
        <v>0.58356900000000012</v>
      </c>
      <c r="G473" s="31">
        <f>C473*'Model Inputs'!$B$21</f>
        <v>9.170370000000001E-4</v>
      </c>
    </row>
    <row r="474" spans="1:7">
      <c r="A474" s="8" t="s">
        <v>79</v>
      </c>
      <c r="B474" s="4" t="s">
        <v>70</v>
      </c>
      <c r="C474" s="12">
        <v>32.458199999999998</v>
      </c>
      <c r="D474" s="28">
        <v>0.57130555599999999</v>
      </c>
      <c r="E474" s="19">
        <f t="shared" si="7"/>
        <v>32.458199999999998</v>
      </c>
      <c r="F474" s="19">
        <f>C474*'Model Inputs'!$B$20</f>
        <v>2.2720739999999999</v>
      </c>
      <c r="G474" s="31">
        <f>C474*'Model Inputs'!$B$21</f>
        <v>3.5704019999999999E-3</v>
      </c>
    </row>
    <row r="475" spans="1:7">
      <c r="A475" s="8" t="s">
        <v>79</v>
      </c>
      <c r="B475" s="4" t="s">
        <v>73</v>
      </c>
      <c r="C475" s="12">
        <v>16.783100000000001</v>
      </c>
      <c r="D475" s="28">
        <v>0.37041666699999998</v>
      </c>
      <c r="E475" s="19">
        <f t="shared" si="7"/>
        <v>16.783100000000001</v>
      </c>
      <c r="F475" s="19">
        <f>C475*'Model Inputs'!$B$20</f>
        <v>1.1748170000000002</v>
      </c>
      <c r="G475" s="31">
        <f>C475*'Model Inputs'!$B$21</f>
        <v>1.8461410000000001E-3</v>
      </c>
    </row>
    <row r="476" spans="1:7">
      <c r="A476" s="8" t="s">
        <v>79</v>
      </c>
      <c r="B476" s="4" t="s">
        <v>76</v>
      </c>
      <c r="C476" s="12">
        <v>6.9282000000000004</v>
      </c>
      <c r="D476" s="28">
        <v>0.22077777800000001</v>
      </c>
      <c r="E476" s="19">
        <f t="shared" si="7"/>
        <v>6.9282000000000004</v>
      </c>
      <c r="F476" s="19">
        <f>C476*'Model Inputs'!$B$20</f>
        <v>0.48497400000000007</v>
      </c>
      <c r="G476" s="31">
        <f>C476*'Model Inputs'!$B$21</f>
        <v>7.6210200000000007E-4</v>
      </c>
    </row>
    <row r="477" spans="1:7">
      <c r="A477" s="8" t="s">
        <v>79</v>
      </c>
      <c r="B477" s="4" t="s">
        <v>82</v>
      </c>
      <c r="C477" s="12">
        <v>15.8918</v>
      </c>
      <c r="D477" s="28">
        <v>0.38316666700000002</v>
      </c>
      <c r="E477" s="19">
        <f t="shared" si="7"/>
        <v>15.8918</v>
      </c>
      <c r="F477" s="19">
        <f>C477*'Model Inputs'!$B$20</f>
        <v>1.1124260000000001</v>
      </c>
      <c r="G477" s="31">
        <f>C477*'Model Inputs'!$B$21</f>
        <v>1.748098E-3</v>
      </c>
    </row>
    <row r="478" spans="1:7">
      <c r="A478" s="8" t="s">
        <v>79</v>
      </c>
      <c r="B478" s="4" t="s">
        <v>85</v>
      </c>
      <c r="C478" s="12">
        <v>26.587199999999999</v>
      </c>
      <c r="D478" s="28">
        <v>0.53513888899999995</v>
      </c>
      <c r="E478" s="19">
        <f t="shared" si="7"/>
        <v>26.587199999999999</v>
      </c>
      <c r="F478" s="19">
        <f>C478*'Model Inputs'!$B$20</f>
        <v>1.8611040000000001</v>
      </c>
      <c r="G478" s="31">
        <f>C478*'Model Inputs'!$B$21</f>
        <v>2.9245920000000002E-3</v>
      </c>
    </row>
    <row r="479" spans="1:7">
      <c r="A479" s="8" t="s">
        <v>79</v>
      </c>
      <c r="B479" s="4" t="s">
        <v>89</v>
      </c>
      <c r="C479" s="12">
        <v>21.343299999999999</v>
      </c>
      <c r="D479" s="28">
        <v>0.463527778</v>
      </c>
      <c r="E479" s="19">
        <f t="shared" si="7"/>
        <v>21.343299999999999</v>
      </c>
      <c r="F479" s="19">
        <f>C479*'Model Inputs'!$B$20</f>
        <v>1.4940310000000001</v>
      </c>
      <c r="G479" s="31">
        <f>C479*'Model Inputs'!$B$21</f>
        <v>2.3477630000000001E-3</v>
      </c>
    </row>
    <row r="480" spans="1:7">
      <c r="A480" s="8" t="s">
        <v>79</v>
      </c>
      <c r="B480" s="4" t="s">
        <v>92</v>
      </c>
      <c r="C480" s="12">
        <v>11.303599999999999</v>
      </c>
      <c r="D480" s="28">
        <v>0.33716666699999998</v>
      </c>
      <c r="E480" s="19">
        <f t="shared" si="7"/>
        <v>11.303599999999999</v>
      </c>
      <c r="F480" s="19">
        <f>C480*'Model Inputs'!$B$20</f>
        <v>0.79125200000000007</v>
      </c>
      <c r="G480" s="31">
        <f>C480*'Model Inputs'!$B$21</f>
        <v>1.2433959999999999E-3</v>
      </c>
    </row>
    <row r="481" spans="1:7">
      <c r="A481" s="8" t="s">
        <v>79</v>
      </c>
      <c r="B481" s="4" t="s">
        <v>95</v>
      </c>
      <c r="C481" s="12">
        <v>24.2331</v>
      </c>
      <c r="D481" s="28">
        <v>0.53311111099999997</v>
      </c>
      <c r="E481" s="19">
        <f t="shared" si="7"/>
        <v>24.2331</v>
      </c>
      <c r="F481" s="19">
        <f>C481*'Model Inputs'!$B$20</f>
        <v>1.6963170000000001</v>
      </c>
      <c r="G481" s="31">
        <f>C481*'Model Inputs'!$B$21</f>
        <v>2.6656410000000003E-3</v>
      </c>
    </row>
    <row r="482" spans="1:7">
      <c r="A482" s="8" t="s">
        <v>82</v>
      </c>
      <c r="B482" s="4" t="s">
        <v>2</v>
      </c>
      <c r="C482" s="12">
        <v>21.319400000000002</v>
      </c>
      <c r="D482" s="28">
        <v>0.44613888899999998</v>
      </c>
      <c r="E482" s="19">
        <f t="shared" si="7"/>
        <v>21.319400000000002</v>
      </c>
      <c r="F482" s="19">
        <f>C482*'Model Inputs'!$B$20</f>
        <v>1.4923580000000003</v>
      </c>
      <c r="G482" s="31">
        <f>C482*'Model Inputs'!$B$21</f>
        <v>2.3451340000000005E-3</v>
      </c>
    </row>
    <row r="483" spans="1:7">
      <c r="A483" s="8" t="s">
        <v>82</v>
      </c>
      <c r="B483" s="4" t="s">
        <v>18</v>
      </c>
      <c r="C483" s="12">
        <v>17.804500000000001</v>
      </c>
      <c r="D483" s="28">
        <v>0.399916667</v>
      </c>
      <c r="E483" s="19">
        <f t="shared" si="7"/>
        <v>17.804500000000001</v>
      </c>
      <c r="F483" s="19">
        <f>C483*'Model Inputs'!$B$20</f>
        <v>1.2463150000000003</v>
      </c>
      <c r="G483" s="31">
        <f>C483*'Model Inputs'!$B$21</f>
        <v>1.9584950000000002E-3</v>
      </c>
    </row>
    <row r="484" spans="1:7">
      <c r="A484" s="8" t="s">
        <v>82</v>
      </c>
      <c r="B484" s="4" t="s">
        <v>23</v>
      </c>
      <c r="C484" s="12">
        <v>13.7781</v>
      </c>
      <c r="D484" s="28">
        <v>0.30158333300000001</v>
      </c>
      <c r="E484" s="19">
        <f t="shared" si="7"/>
        <v>13.7781</v>
      </c>
      <c r="F484" s="19">
        <f>C484*'Model Inputs'!$B$20</f>
        <v>0.96446700000000007</v>
      </c>
      <c r="G484" s="31">
        <f>C484*'Model Inputs'!$B$21</f>
        <v>1.5155910000000002E-3</v>
      </c>
    </row>
    <row r="485" spans="1:7">
      <c r="A485" s="8" t="s">
        <v>82</v>
      </c>
      <c r="B485" s="4" t="s">
        <v>27</v>
      </c>
      <c r="C485" s="12">
        <v>23.246500000000001</v>
      </c>
      <c r="D485" s="28">
        <v>0.43988888900000001</v>
      </c>
      <c r="E485" s="19">
        <f t="shared" si="7"/>
        <v>23.246500000000001</v>
      </c>
      <c r="F485" s="19">
        <f>C485*'Model Inputs'!$B$20</f>
        <v>1.6272550000000001</v>
      </c>
      <c r="G485" s="31">
        <f>C485*'Model Inputs'!$B$21</f>
        <v>2.557115E-3</v>
      </c>
    </row>
    <row r="486" spans="1:7">
      <c r="A486" s="8" t="s">
        <v>82</v>
      </c>
      <c r="B486" s="4" t="s">
        <v>31</v>
      </c>
      <c r="C486" s="12">
        <v>30.7117</v>
      </c>
      <c r="D486" s="28">
        <v>0.45058333299999997</v>
      </c>
      <c r="E486" s="19">
        <f t="shared" si="7"/>
        <v>30.7117</v>
      </c>
      <c r="F486" s="19">
        <f>C486*'Model Inputs'!$B$20</f>
        <v>2.1498190000000004</v>
      </c>
      <c r="G486" s="31">
        <f>C486*'Model Inputs'!$B$21</f>
        <v>3.3782870000000002E-3</v>
      </c>
    </row>
    <row r="487" spans="1:7">
      <c r="A487" s="8" t="s">
        <v>82</v>
      </c>
      <c r="B487" s="4" t="s">
        <v>35</v>
      </c>
      <c r="C487" s="12">
        <v>9.0665999999999993</v>
      </c>
      <c r="D487" s="28">
        <v>0.170194444</v>
      </c>
      <c r="E487" s="19">
        <f t="shared" si="7"/>
        <v>9.0665999999999993</v>
      </c>
      <c r="F487" s="19">
        <f>C487*'Model Inputs'!$B$20</f>
        <v>0.63466200000000006</v>
      </c>
      <c r="G487" s="31">
        <f>C487*'Model Inputs'!$B$21</f>
        <v>9.9732599999999999E-4</v>
      </c>
    </row>
    <row r="488" spans="1:7">
      <c r="A488" s="8" t="s">
        <v>82</v>
      </c>
      <c r="B488" s="4" t="s">
        <v>38</v>
      </c>
      <c r="C488" s="12">
        <v>50.149000000000001</v>
      </c>
      <c r="D488" s="28">
        <v>0.69813888899999998</v>
      </c>
      <c r="E488" s="19">
        <f t="shared" si="7"/>
        <v>50.149000000000001</v>
      </c>
      <c r="F488" s="19">
        <f>C488*'Model Inputs'!$B$20</f>
        <v>3.5104300000000004</v>
      </c>
      <c r="G488" s="31">
        <f>C488*'Model Inputs'!$B$21</f>
        <v>5.5163900000000004E-3</v>
      </c>
    </row>
    <row r="489" spans="1:7">
      <c r="A489" s="8" t="s">
        <v>82</v>
      </c>
      <c r="B489" s="4" t="s">
        <v>42</v>
      </c>
      <c r="C489" s="12">
        <v>15.513299999999999</v>
      </c>
      <c r="D489" s="28">
        <v>0.268944444</v>
      </c>
      <c r="E489" s="19">
        <f t="shared" si="7"/>
        <v>15.513299999999999</v>
      </c>
      <c r="F489" s="19">
        <f>C489*'Model Inputs'!$B$20</f>
        <v>1.085931</v>
      </c>
      <c r="G489" s="31">
        <f>C489*'Model Inputs'!$B$21</f>
        <v>1.7064630000000001E-3</v>
      </c>
    </row>
    <row r="490" spans="1:7">
      <c r="A490" s="8" t="s">
        <v>82</v>
      </c>
      <c r="B490" s="4" t="s">
        <v>46</v>
      </c>
      <c r="C490" s="12">
        <v>19.929099999999998</v>
      </c>
      <c r="D490" s="28">
        <v>0.349472222</v>
      </c>
      <c r="E490" s="19">
        <f t="shared" si="7"/>
        <v>19.929099999999998</v>
      </c>
      <c r="F490" s="19">
        <f>C490*'Model Inputs'!$B$20</f>
        <v>1.3950370000000001</v>
      </c>
      <c r="G490" s="31">
        <f>C490*'Model Inputs'!$B$21</f>
        <v>2.192201E-3</v>
      </c>
    </row>
    <row r="491" spans="1:7">
      <c r="A491" s="8" t="s">
        <v>82</v>
      </c>
      <c r="B491" s="4" t="s">
        <v>49</v>
      </c>
      <c r="C491" s="12">
        <v>45.5152</v>
      </c>
      <c r="D491" s="28">
        <v>0.67349999999999999</v>
      </c>
      <c r="E491" s="19">
        <f t="shared" si="7"/>
        <v>45.5152</v>
      </c>
      <c r="F491" s="19">
        <f>C491*'Model Inputs'!$B$20</f>
        <v>3.1860640000000005</v>
      </c>
      <c r="G491" s="31">
        <f>C491*'Model Inputs'!$B$21</f>
        <v>5.0066720000000002E-3</v>
      </c>
    </row>
    <row r="492" spans="1:7">
      <c r="A492" s="8" t="s">
        <v>82</v>
      </c>
      <c r="B492" s="4" t="s">
        <v>52</v>
      </c>
      <c r="C492" s="12">
        <v>31.375900000000001</v>
      </c>
      <c r="D492" s="28">
        <v>0.64366666699999997</v>
      </c>
      <c r="E492" s="19">
        <f t="shared" si="7"/>
        <v>31.375900000000001</v>
      </c>
      <c r="F492" s="19">
        <f>C492*'Model Inputs'!$B$20</f>
        <v>2.1963130000000004</v>
      </c>
      <c r="G492" s="31">
        <f>C492*'Model Inputs'!$B$21</f>
        <v>3.4513490000000003E-3</v>
      </c>
    </row>
    <row r="493" spans="1:7">
      <c r="A493" s="8" t="s">
        <v>82</v>
      </c>
      <c r="B493" s="4" t="s">
        <v>55</v>
      </c>
      <c r="C493" s="12">
        <v>35.6873</v>
      </c>
      <c r="D493" s="28">
        <v>0.58361111099999996</v>
      </c>
      <c r="E493" s="19">
        <f t="shared" si="7"/>
        <v>35.6873</v>
      </c>
      <c r="F493" s="19">
        <f>C493*'Model Inputs'!$B$20</f>
        <v>2.4981110000000002</v>
      </c>
      <c r="G493" s="31">
        <f>C493*'Model Inputs'!$B$21</f>
        <v>3.9256030000000006E-3</v>
      </c>
    </row>
    <row r="494" spans="1:7">
      <c r="A494" s="8" t="s">
        <v>82</v>
      </c>
      <c r="B494" s="4" t="s">
        <v>58</v>
      </c>
      <c r="C494" s="12">
        <v>34.1524</v>
      </c>
      <c r="D494" s="28">
        <v>0.67072222199999998</v>
      </c>
      <c r="E494" s="19">
        <f t="shared" si="7"/>
        <v>34.1524</v>
      </c>
      <c r="F494" s="19">
        <f>C494*'Model Inputs'!$B$20</f>
        <v>2.3906680000000002</v>
      </c>
      <c r="G494" s="31">
        <f>C494*'Model Inputs'!$B$21</f>
        <v>3.7567640000000001E-3</v>
      </c>
    </row>
    <row r="495" spans="1:7">
      <c r="A495" s="8" t="s">
        <v>82</v>
      </c>
      <c r="B495" s="4" t="s">
        <v>61</v>
      </c>
      <c r="C495" s="12">
        <v>18.4877</v>
      </c>
      <c r="D495" s="28">
        <v>0.31227777800000001</v>
      </c>
      <c r="E495" s="19">
        <f t="shared" si="7"/>
        <v>18.4877</v>
      </c>
      <c r="F495" s="19">
        <f>C495*'Model Inputs'!$B$20</f>
        <v>1.2941390000000002</v>
      </c>
      <c r="G495" s="31">
        <f>C495*'Model Inputs'!$B$21</f>
        <v>2.033647E-3</v>
      </c>
    </row>
    <row r="496" spans="1:7">
      <c r="A496" s="8" t="s">
        <v>82</v>
      </c>
      <c r="B496" s="4" t="s">
        <v>64</v>
      </c>
      <c r="C496" s="12">
        <v>35.321100000000001</v>
      </c>
      <c r="D496" s="28">
        <v>0.49866666700000001</v>
      </c>
      <c r="E496" s="19">
        <f t="shared" si="7"/>
        <v>35.321100000000001</v>
      </c>
      <c r="F496" s="19">
        <f>C496*'Model Inputs'!$B$20</f>
        <v>2.4724770000000005</v>
      </c>
      <c r="G496" s="31">
        <f>C496*'Model Inputs'!$B$21</f>
        <v>3.8853210000000002E-3</v>
      </c>
    </row>
    <row r="497" spans="1:7">
      <c r="A497" s="8" t="s">
        <v>82</v>
      </c>
      <c r="B497" s="4" t="s">
        <v>67</v>
      </c>
      <c r="C497" s="12">
        <v>18.9861</v>
      </c>
      <c r="D497" s="28">
        <v>0.36705555600000001</v>
      </c>
      <c r="E497" s="19">
        <f t="shared" si="7"/>
        <v>18.9861</v>
      </c>
      <c r="F497" s="19">
        <f>C497*'Model Inputs'!$B$20</f>
        <v>1.3290270000000002</v>
      </c>
      <c r="G497" s="31">
        <f>C497*'Model Inputs'!$B$21</f>
        <v>2.0884710000000002E-3</v>
      </c>
    </row>
    <row r="498" spans="1:7">
      <c r="A498" s="8" t="s">
        <v>82</v>
      </c>
      <c r="B498" s="4" t="s">
        <v>70</v>
      </c>
      <c r="C498" s="12">
        <v>43.107599999999998</v>
      </c>
      <c r="D498" s="28">
        <v>0.74111111100000004</v>
      </c>
      <c r="E498" s="19">
        <f t="shared" si="7"/>
        <v>43.107599999999998</v>
      </c>
      <c r="F498" s="19">
        <f>C498*'Model Inputs'!$B$20</f>
        <v>3.0175320000000001</v>
      </c>
      <c r="G498" s="31">
        <f>C498*'Model Inputs'!$B$21</f>
        <v>4.7418360000000001E-3</v>
      </c>
    </row>
    <row r="499" spans="1:7">
      <c r="A499" s="8" t="s">
        <v>82</v>
      </c>
      <c r="B499" s="4" t="s">
        <v>73</v>
      </c>
      <c r="C499" s="12">
        <v>27.432500000000001</v>
      </c>
      <c r="D499" s="28">
        <v>0.54022222200000003</v>
      </c>
      <c r="E499" s="19">
        <f t="shared" si="7"/>
        <v>27.432500000000001</v>
      </c>
      <c r="F499" s="19">
        <f>C499*'Model Inputs'!$B$20</f>
        <v>1.9202750000000002</v>
      </c>
      <c r="G499" s="31">
        <f>C499*'Model Inputs'!$B$21</f>
        <v>3.0175750000000002E-3</v>
      </c>
    </row>
    <row r="500" spans="1:7">
      <c r="A500" s="8" t="s">
        <v>82</v>
      </c>
      <c r="B500" s="4" t="s">
        <v>76</v>
      </c>
      <c r="C500" s="12">
        <v>9.4045000000000005</v>
      </c>
      <c r="D500" s="28">
        <v>0.17111111100000001</v>
      </c>
      <c r="E500" s="19">
        <f t="shared" si="7"/>
        <v>9.4045000000000005</v>
      </c>
      <c r="F500" s="19">
        <f>C500*'Model Inputs'!$B$20</f>
        <v>0.65831500000000009</v>
      </c>
      <c r="G500" s="31">
        <f>C500*'Model Inputs'!$B$21</f>
        <v>1.0344950000000001E-3</v>
      </c>
    </row>
    <row r="501" spans="1:7">
      <c r="A501" s="8" t="s">
        <v>82</v>
      </c>
      <c r="B501" s="4" t="s">
        <v>79</v>
      </c>
      <c r="C501" s="12">
        <v>14.859400000000001</v>
      </c>
      <c r="D501" s="28">
        <v>0.40666666699999998</v>
      </c>
      <c r="E501" s="19">
        <f t="shared" si="7"/>
        <v>14.859400000000001</v>
      </c>
      <c r="F501" s="19">
        <f>C501*'Model Inputs'!$B$20</f>
        <v>1.0401580000000001</v>
      </c>
      <c r="G501" s="31">
        <f>C501*'Model Inputs'!$B$21</f>
        <v>1.6345340000000002E-3</v>
      </c>
    </row>
    <row r="502" spans="1:7">
      <c r="A502" s="8" t="s">
        <v>82</v>
      </c>
      <c r="B502" s="4" t="s">
        <v>85</v>
      </c>
      <c r="C502" s="12">
        <v>21.995899999999999</v>
      </c>
      <c r="D502" s="28">
        <v>0.38691666699999999</v>
      </c>
      <c r="E502" s="19">
        <f t="shared" si="7"/>
        <v>21.995899999999999</v>
      </c>
      <c r="F502" s="19">
        <f>C502*'Model Inputs'!$B$20</f>
        <v>1.5397130000000001</v>
      </c>
      <c r="G502" s="31">
        <f>C502*'Model Inputs'!$B$21</f>
        <v>2.419549E-3</v>
      </c>
    </row>
    <row r="503" spans="1:7">
      <c r="A503" s="8" t="s">
        <v>82</v>
      </c>
      <c r="B503" s="4" t="s">
        <v>89</v>
      </c>
      <c r="C503" s="12">
        <v>27.254899999999999</v>
      </c>
      <c r="D503" s="28">
        <v>0.559277778</v>
      </c>
      <c r="E503" s="19">
        <f t="shared" si="7"/>
        <v>27.254899999999999</v>
      </c>
      <c r="F503" s="19">
        <f>C503*'Model Inputs'!$B$20</f>
        <v>1.9078430000000002</v>
      </c>
      <c r="G503" s="31">
        <f>C503*'Model Inputs'!$B$21</f>
        <v>2.9980390000000001E-3</v>
      </c>
    </row>
    <row r="504" spans="1:7">
      <c r="A504" s="8" t="s">
        <v>82</v>
      </c>
      <c r="B504" s="4" t="s">
        <v>92</v>
      </c>
      <c r="C504" s="12">
        <v>12.2706</v>
      </c>
      <c r="D504" s="28">
        <v>0.27233333300000001</v>
      </c>
      <c r="E504" s="19">
        <f t="shared" si="7"/>
        <v>12.2706</v>
      </c>
      <c r="F504" s="19">
        <f>C504*'Model Inputs'!$B$20</f>
        <v>0.85894200000000009</v>
      </c>
      <c r="G504" s="31">
        <f>C504*'Model Inputs'!$B$21</f>
        <v>1.3497660000000001E-3</v>
      </c>
    </row>
    <row r="505" spans="1:7">
      <c r="A505" s="8" t="s">
        <v>82</v>
      </c>
      <c r="B505" s="4" t="s">
        <v>95</v>
      </c>
      <c r="C505" s="12">
        <v>31.741399999999999</v>
      </c>
      <c r="D505" s="28">
        <v>0.63466666699999996</v>
      </c>
      <c r="E505" s="19">
        <f t="shared" si="7"/>
        <v>31.741399999999999</v>
      </c>
      <c r="F505" s="19">
        <f>C505*'Model Inputs'!$B$20</f>
        <v>2.2218979999999999</v>
      </c>
      <c r="G505" s="31">
        <f>C505*'Model Inputs'!$B$21</f>
        <v>3.491554E-3</v>
      </c>
    </row>
    <row r="506" spans="1:7">
      <c r="A506" s="8" t="s">
        <v>85</v>
      </c>
      <c r="B506" s="4" t="s">
        <v>2</v>
      </c>
      <c r="C506" s="12">
        <v>13.091100000000001</v>
      </c>
      <c r="D506" s="28">
        <v>0.27416666699999998</v>
      </c>
      <c r="E506" s="19">
        <f t="shared" si="7"/>
        <v>13.091100000000001</v>
      </c>
      <c r="F506" s="19">
        <f>C506*'Model Inputs'!$B$20</f>
        <v>0.91637700000000011</v>
      </c>
      <c r="G506" s="31">
        <f>C506*'Model Inputs'!$B$21</f>
        <v>1.4400210000000001E-3</v>
      </c>
    </row>
    <row r="507" spans="1:7">
      <c r="A507" s="8" t="s">
        <v>85</v>
      </c>
      <c r="B507" s="4" t="s">
        <v>18</v>
      </c>
      <c r="C507" s="12">
        <v>18.217099999999999</v>
      </c>
      <c r="D507" s="28">
        <v>0.389444444</v>
      </c>
      <c r="E507" s="19">
        <f t="shared" si="7"/>
        <v>18.217099999999999</v>
      </c>
      <c r="F507" s="19">
        <f>C507*'Model Inputs'!$B$20</f>
        <v>1.2751969999999999</v>
      </c>
      <c r="G507" s="31">
        <f>C507*'Model Inputs'!$B$21</f>
        <v>2.0038809999999999E-3</v>
      </c>
    </row>
    <row r="508" spans="1:7">
      <c r="A508" s="8" t="s">
        <v>85</v>
      </c>
      <c r="B508" s="4" t="s">
        <v>23</v>
      </c>
      <c r="C508" s="12">
        <v>14.1907</v>
      </c>
      <c r="D508" s="28">
        <v>0.29111111099999998</v>
      </c>
      <c r="E508" s="19">
        <f t="shared" si="7"/>
        <v>14.1907</v>
      </c>
      <c r="F508" s="19">
        <f>C508*'Model Inputs'!$B$20</f>
        <v>0.99334900000000004</v>
      </c>
      <c r="G508" s="31">
        <f>C508*'Model Inputs'!$B$21</f>
        <v>1.5609770000000001E-3</v>
      </c>
    </row>
    <row r="509" spans="1:7">
      <c r="A509" s="8" t="s">
        <v>85</v>
      </c>
      <c r="B509" s="4" t="s">
        <v>27</v>
      </c>
      <c r="C509" s="12">
        <v>8.1884999999999994</v>
      </c>
      <c r="D509" s="28">
        <v>0.19230555599999999</v>
      </c>
      <c r="E509" s="19">
        <f t="shared" si="7"/>
        <v>8.1884999999999994</v>
      </c>
      <c r="F509" s="19">
        <f>C509*'Model Inputs'!$B$20</f>
        <v>0.57319500000000001</v>
      </c>
      <c r="G509" s="31">
        <f>C509*'Model Inputs'!$B$21</f>
        <v>9.0073499999999995E-4</v>
      </c>
    </row>
    <row r="510" spans="1:7">
      <c r="A510" s="8" t="s">
        <v>85</v>
      </c>
      <c r="B510" s="4" t="s">
        <v>31</v>
      </c>
      <c r="C510" s="12">
        <v>8.4855</v>
      </c>
      <c r="D510" s="28">
        <v>0.17163888899999999</v>
      </c>
      <c r="E510" s="19">
        <f t="shared" si="7"/>
        <v>8.4855</v>
      </c>
      <c r="F510" s="19">
        <f>C510*'Model Inputs'!$B$20</f>
        <v>0.5939850000000001</v>
      </c>
      <c r="G510" s="31">
        <f>C510*'Model Inputs'!$B$21</f>
        <v>9.33405E-4</v>
      </c>
    </row>
    <row r="511" spans="1:7">
      <c r="A511" s="8" t="s">
        <v>85</v>
      </c>
      <c r="B511" s="4" t="s">
        <v>35</v>
      </c>
      <c r="C511" s="12">
        <v>12.719799999999999</v>
      </c>
      <c r="D511" s="28">
        <v>0.275638889</v>
      </c>
      <c r="E511" s="19">
        <f t="shared" si="7"/>
        <v>12.719799999999999</v>
      </c>
      <c r="F511" s="19">
        <f>C511*'Model Inputs'!$B$20</f>
        <v>0.89038600000000001</v>
      </c>
      <c r="G511" s="31">
        <f>C511*'Model Inputs'!$B$21</f>
        <v>1.3991780000000001E-3</v>
      </c>
    </row>
    <row r="512" spans="1:7">
      <c r="A512" s="8" t="s">
        <v>85</v>
      </c>
      <c r="B512" s="4" t="s">
        <v>38</v>
      </c>
      <c r="C512" s="12">
        <v>26.637</v>
      </c>
      <c r="D512" s="28">
        <v>0.43108333300000001</v>
      </c>
      <c r="E512" s="19">
        <f t="shared" si="7"/>
        <v>26.637</v>
      </c>
      <c r="F512" s="19">
        <f>C512*'Model Inputs'!$B$20</f>
        <v>1.8645900000000002</v>
      </c>
      <c r="G512" s="31">
        <f>C512*'Model Inputs'!$B$21</f>
        <v>2.9300700000000003E-3</v>
      </c>
    </row>
    <row r="513" spans="1:7">
      <c r="A513" s="8" t="s">
        <v>85</v>
      </c>
      <c r="B513" s="4" t="s">
        <v>42</v>
      </c>
      <c r="C513" s="12">
        <v>13.7454</v>
      </c>
      <c r="D513" s="28">
        <v>0.28569444399999999</v>
      </c>
      <c r="E513" s="19">
        <f t="shared" si="7"/>
        <v>13.7454</v>
      </c>
      <c r="F513" s="19">
        <f>C513*'Model Inputs'!$B$20</f>
        <v>0.96217800000000009</v>
      </c>
      <c r="G513" s="31">
        <f>C513*'Model Inputs'!$B$21</f>
        <v>1.511994E-3</v>
      </c>
    </row>
    <row r="514" spans="1:7">
      <c r="A514" s="8" t="s">
        <v>85</v>
      </c>
      <c r="B514" s="4" t="s">
        <v>46</v>
      </c>
      <c r="C514" s="12">
        <v>4.0206999999999997</v>
      </c>
      <c r="D514" s="28">
        <v>9.1277778000000004E-2</v>
      </c>
      <c r="E514" s="19">
        <f t="shared" ref="E514:E577" si="8">C514</f>
        <v>4.0206999999999997</v>
      </c>
      <c r="F514" s="19">
        <f>C514*'Model Inputs'!$B$20</f>
        <v>0.281449</v>
      </c>
      <c r="G514" s="31">
        <f>C514*'Model Inputs'!$B$21</f>
        <v>4.4227699999999998E-4</v>
      </c>
    </row>
    <row r="515" spans="1:7">
      <c r="A515" s="8" t="s">
        <v>85</v>
      </c>
      <c r="B515" s="4" t="s">
        <v>49</v>
      </c>
      <c r="C515" s="12">
        <v>24.4194</v>
      </c>
      <c r="D515" s="28">
        <v>0.41052777800000001</v>
      </c>
      <c r="E515" s="19">
        <f t="shared" si="8"/>
        <v>24.4194</v>
      </c>
      <c r="F515" s="19">
        <f>C515*'Model Inputs'!$B$20</f>
        <v>1.7093580000000002</v>
      </c>
      <c r="G515" s="31">
        <f>C515*'Model Inputs'!$B$21</f>
        <v>2.6861340000000002E-3</v>
      </c>
    </row>
    <row r="516" spans="1:7">
      <c r="A516" s="8" t="s">
        <v>85</v>
      </c>
      <c r="B516" s="4" t="s">
        <v>52</v>
      </c>
      <c r="C516" s="12">
        <v>23.117599999999999</v>
      </c>
      <c r="D516" s="28">
        <v>0.46755555599999998</v>
      </c>
      <c r="E516" s="19">
        <f t="shared" si="8"/>
        <v>23.117599999999999</v>
      </c>
      <c r="F516" s="19">
        <f>C516*'Model Inputs'!$B$20</f>
        <v>1.6182320000000001</v>
      </c>
      <c r="G516" s="31">
        <f>C516*'Model Inputs'!$B$21</f>
        <v>2.542936E-3</v>
      </c>
    </row>
    <row r="517" spans="1:7">
      <c r="A517" s="8" t="s">
        <v>85</v>
      </c>
      <c r="B517" s="4" t="s">
        <v>55</v>
      </c>
      <c r="C517" s="12">
        <v>14.425000000000001</v>
      </c>
      <c r="D517" s="28">
        <v>0.25433333299999999</v>
      </c>
      <c r="E517" s="19">
        <f t="shared" si="8"/>
        <v>14.425000000000001</v>
      </c>
      <c r="F517" s="19">
        <f>C517*'Model Inputs'!$B$20</f>
        <v>1.0097500000000001</v>
      </c>
      <c r="G517" s="31">
        <f>C517*'Model Inputs'!$B$21</f>
        <v>1.5867500000000001E-3</v>
      </c>
    </row>
    <row r="518" spans="1:7">
      <c r="A518" s="8" t="s">
        <v>85</v>
      </c>
      <c r="B518" s="4" t="s">
        <v>58</v>
      </c>
      <c r="C518" s="12">
        <v>29.506900000000002</v>
      </c>
      <c r="D518" s="28">
        <v>0.43355555600000001</v>
      </c>
      <c r="E518" s="19">
        <f t="shared" si="8"/>
        <v>29.506900000000002</v>
      </c>
      <c r="F518" s="19">
        <f>C518*'Model Inputs'!$B$20</f>
        <v>2.0654830000000004</v>
      </c>
      <c r="G518" s="31">
        <f>C518*'Model Inputs'!$B$21</f>
        <v>3.2457590000000004E-3</v>
      </c>
    </row>
    <row r="519" spans="1:7">
      <c r="A519" s="8" t="s">
        <v>85</v>
      </c>
      <c r="B519" s="4" t="s">
        <v>61</v>
      </c>
      <c r="C519" s="12">
        <v>7.3693</v>
      </c>
      <c r="D519" s="28">
        <v>0.156138889</v>
      </c>
      <c r="E519" s="19">
        <f t="shared" si="8"/>
        <v>7.3693</v>
      </c>
      <c r="F519" s="19">
        <f>C519*'Model Inputs'!$B$20</f>
        <v>0.51585100000000006</v>
      </c>
      <c r="G519" s="31">
        <f>C519*'Model Inputs'!$B$21</f>
        <v>8.1062300000000001E-4</v>
      </c>
    </row>
    <row r="520" spans="1:7">
      <c r="A520" s="8" t="s">
        <v>85</v>
      </c>
      <c r="B520" s="4" t="s">
        <v>64</v>
      </c>
      <c r="C520" s="12">
        <v>11.809100000000001</v>
      </c>
      <c r="D520" s="28">
        <v>0.23161111100000001</v>
      </c>
      <c r="E520" s="19">
        <f t="shared" si="8"/>
        <v>11.809100000000001</v>
      </c>
      <c r="F520" s="19">
        <f>C520*'Model Inputs'!$B$20</f>
        <v>0.82663700000000018</v>
      </c>
      <c r="G520" s="31">
        <f>C520*'Model Inputs'!$B$21</f>
        <v>1.2990010000000001E-3</v>
      </c>
    </row>
    <row r="521" spans="1:7">
      <c r="A521" s="8" t="s">
        <v>85</v>
      </c>
      <c r="B521" s="4" t="s">
        <v>67</v>
      </c>
      <c r="C521" s="12">
        <v>27.182400000000001</v>
      </c>
      <c r="D521" s="28">
        <v>0.48452777800000002</v>
      </c>
      <c r="E521" s="19">
        <f t="shared" si="8"/>
        <v>27.182400000000001</v>
      </c>
      <c r="F521" s="19">
        <f>C521*'Model Inputs'!$B$20</f>
        <v>1.9027680000000002</v>
      </c>
      <c r="G521" s="31">
        <f>C521*'Model Inputs'!$B$21</f>
        <v>2.9900640000000002E-3</v>
      </c>
    </row>
    <row r="522" spans="1:7">
      <c r="A522" s="8" t="s">
        <v>85</v>
      </c>
      <c r="B522" s="4" t="s">
        <v>70</v>
      </c>
      <c r="C522" s="12">
        <v>37.6509</v>
      </c>
      <c r="D522" s="28">
        <v>0.64969444399999998</v>
      </c>
      <c r="E522" s="19">
        <f t="shared" si="8"/>
        <v>37.6509</v>
      </c>
      <c r="F522" s="19">
        <f>C522*'Model Inputs'!$B$20</f>
        <v>2.6355630000000003</v>
      </c>
      <c r="G522" s="31">
        <f>C522*'Model Inputs'!$B$21</f>
        <v>4.1415990000000001E-3</v>
      </c>
    </row>
    <row r="523" spans="1:7">
      <c r="A523" s="8" t="s">
        <v>85</v>
      </c>
      <c r="B523" s="4" t="s">
        <v>73</v>
      </c>
      <c r="C523" s="12">
        <v>35.628799999999998</v>
      </c>
      <c r="D523" s="28">
        <v>0.65769444399999999</v>
      </c>
      <c r="E523" s="19">
        <f t="shared" si="8"/>
        <v>35.628799999999998</v>
      </c>
      <c r="F523" s="19">
        <f>C523*'Model Inputs'!$B$20</f>
        <v>2.4940160000000002</v>
      </c>
      <c r="G523" s="31">
        <f>C523*'Model Inputs'!$B$21</f>
        <v>3.9191679999999998E-3</v>
      </c>
    </row>
    <row r="524" spans="1:7">
      <c r="A524" s="8" t="s">
        <v>85</v>
      </c>
      <c r="B524" s="4" t="s">
        <v>76</v>
      </c>
      <c r="C524" s="12">
        <v>21.316500000000001</v>
      </c>
      <c r="D524" s="28">
        <v>0.38202777799999998</v>
      </c>
      <c r="E524" s="19">
        <f t="shared" si="8"/>
        <v>21.316500000000001</v>
      </c>
      <c r="F524" s="19">
        <f>C524*'Model Inputs'!$B$20</f>
        <v>1.4921550000000003</v>
      </c>
      <c r="G524" s="31">
        <f>C524*'Model Inputs'!$B$21</f>
        <v>2.3448150000000001E-3</v>
      </c>
    </row>
    <row r="525" spans="1:7">
      <c r="A525" s="8" t="s">
        <v>85</v>
      </c>
      <c r="B525" s="4" t="s">
        <v>79</v>
      </c>
      <c r="C525" s="12">
        <v>23.055700000000002</v>
      </c>
      <c r="D525" s="28">
        <v>0.52413888900000005</v>
      </c>
      <c r="E525" s="19">
        <f t="shared" si="8"/>
        <v>23.055700000000002</v>
      </c>
      <c r="F525" s="19">
        <f>C525*'Model Inputs'!$B$20</f>
        <v>1.6138990000000002</v>
      </c>
      <c r="G525" s="31">
        <f>C525*'Model Inputs'!$B$21</f>
        <v>2.5361270000000004E-3</v>
      </c>
    </row>
    <row r="526" spans="1:7">
      <c r="A526" s="8" t="s">
        <v>85</v>
      </c>
      <c r="B526" s="4" t="s">
        <v>82</v>
      </c>
      <c r="C526" s="12">
        <v>23.512899999999998</v>
      </c>
      <c r="D526" s="28">
        <v>0.38652777799999999</v>
      </c>
      <c r="E526" s="19">
        <f t="shared" si="8"/>
        <v>23.512899999999998</v>
      </c>
      <c r="F526" s="19">
        <f>C526*'Model Inputs'!$B$20</f>
        <v>1.6459030000000001</v>
      </c>
      <c r="G526" s="31">
        <f>C526*'Model Inputs'!$B$21</f>
        <v>2.586419E-3</v>
      </c>
    </row>
    <row r="527" spans="1:7">
      <c r="A527" s="8" t="s">
        <v>85</v>
      </c>
      <c r="B527" s="4" t="s">
        <v>89</v>
      </c>
      <c r="C527" s="12">
        <v>18.6877</v>
      </c>
      <c r="D527" s="28">
        <v>0.39927777800000003</v>
      </c>
      <c r="E527" s="19">
        <f t="shared" si="8"/>
        <v>18.6877</v>
      </c>
      <c r="F527" s="19">
        <f>C527*'Model Inputs'!$B$20</f>
        <v>1.3081390000000002</v>
      </c>
      <c r="G527" s="31">
        <f>C527*'Model Inputs'!$B$21</f>
        <v>2.0556469999999999E-3</v>
      </c>
    </row>
    <row r="528" spans="1:7">
      <c r="A528" s="8" t="s">
        <v>85</v>
      </c>
      <c r="B528" s="4" t="s">
        <v>92</v>
      </c>
      <c r="C528" s="12">
        <v>13.1129</v>
      </c>
      <c r="D528" s="28">
        <v>0.27516666699999998</v>
      </c>
      <c r="E528" s="19">
        <f t="shared" si="8"/>
        <v>13.1129</v>
      </c>
      <c r="F528" s="19">
        <f>C528*'Model Inputs'!$B$20</f>
        <v>0.91790300000000002</v>
      </c>
      <c r="G528" s="31">
        <f>C528*'Model Inputs'!$B$21</f>
        <v>1.4424190000000001E-3</v>
      </c>
    </row>
    <row r="529" spans="1:7">
      <c r="A529" s="8" t="s">
        <v>85</v>
      </c>
      <c r="B529" s="4" t="s">
        <v>95</v>
      </c>
      <c r="C529" s="12">
        <v>27.508299999999998</v>
      </c>
      <c r="D529" s="28">
        <v>0.401027778</v>
      </c>
      <c r="E529" s="19">
        <f t="shared" si="8"/>
        <v>27.508299999999998</v>
      </c>
      <c r="F529" s="19">
        <f>C529*'Model Inputs'!$B$20</f>
        <v>1.925581</v>
      </c>
      <c r="G529" s="31">
        <f>C529*'Model Inputs'!$B$21</f>
        <v>3.0259129999999999E-3</v>
      </c>
    </row>
    <row r="530" spans="1:7">
      <c r="A530" s="8" t="s">
        <v>89</v>
      </c>
      <c r="B530" s="4" t="s">
        <v>2</v>
      </c>
      <c r="C530" s="12">
        <v>6.1684999999999999</v>
      </c>
      <c r="D530" s="28">
        <v>0.17886111099999999</v>
      </c>
      <c r="E530" s="19">
        <f t="shared" si="8"/>
        <v>6.1684999999999999</v>
      </c>
      <c r="F530" s="19">
        <f>C530*'Model Inputs'!$B$20</f>
        <v>0.43179500000000004</v>
      </c>
      <c r="G530" s="31">
        <f>C530*'Model Inputs'!$B$21</f>
        <v>6.7853499999999997E-4</v>
      </c>
    </row>
    <row r="531" spans="1:7">
      <c r="A531" s="8" t="s">
        <v>89</v>
      </c>
      <c r="B531" s="4" t="s">
        <v>18</v>
      </c>
      <c r="C531" s="12">
        <v>9.9490999999999996</v>
      </c>
      <c r="D531" s="28">
        <v>0.23313888899999999</v>
      </c>
      <c r="E531" s="19">
        <f t="shared" si="8"/>
        <v>9.9490999999999996</v>
      </c>
      <c r="F531" s="19">
        <f>C531*'Model Inputs'!$B$20</f>
        <v>0.69643700000000008</v>
      </c>
      <c r="G531" s="31">
        <f>C531*'Model Inputs'!$B$21</f>
        <v>1.0944010000000001E-3</v>
      </c>
    </row>
    <row r="532" spans="1:7">
      <c r="A532" s="8" t="s">
        <v>89</v>
      </c>
      <c r="B532" s="4" t="s">
        <v>23</v>
      </c>
      <c r="C532" s="12">
        <v>16.4175</v>
      </c>
      <c r="D532" s="28">
        <v>0.36997222200000002</v>
      </c>
      <c r="E532" s="19">
        <f t="shared" si="8"/>
        <v>16.4175</v>
      </c>
      <c r="F532" s="19">
        <f>C532*'Model Inputs'!$B$20</f>
        <v>1.1492250000000002</v>
      </c>
      <c r="G532" s="31">
        <f>C532*'Model Inputs'!$B$21</f>
        <v>1.8059250000000001E-3</v>
      </c>
    </row>
    <row r="533" spans="1:7">
      <c r="A533" s="8" t="s">
        <v>89</v>
      </c>
      <c r="B533" s="4" t="s">
        <v>27</v>
      </c>
      <c r="C533" s="12">
        <v>14.077299999999999</v>
      </c>
      <c r="D533" s="28">
        <v>0.34941666700000001</v>
      </c>
      <c r="E533" s="19">
        <f t="shared" si="8"/>
        <v>14.077299999999999</v>
      </c>
      <c r="F533" s="19">
        <f>C533*'Model Inputs'!$B$20</f>
        <v>0.98541100000000004</v>
      </c>
      <c r="G533" s="31">
        <f>C533*'Model Inputs'!$B$21</f>
        <v>1.5485029999999999E-3</v>
      </c>
    </row>
    <row r="534" spans="1:7">
      <c r="A534" s="8" t="s">
        <v>89</v>
      </c>
      <c r="B534" s="4" t="s">
        <v>31</v>
      </c>
      <c r="C534" s="12">
        <v>22.597200000000001</v>
      </c>
      <c r="D534" s="28">
        <v>0.48183333299999997</v>
      </c>
      <c r="E534" s="19">
        <f t="shared" si="8"/>
        <v>22.597200000000001</v>
      </c>
      <c r="F534" s="19">
        <f>C534*'Model Inputs'!$B$20</f>
        <v>1.5818040000000002</v>
      </c>
      <c r="G534" s="31">
        <f>C534*'Model Inputs'!$B$21</f>
        <v>2.4856920000000003E-3</v>
      </c>
    </row>
    <row r="535" spans="1:7">
      <c r="A535" s="8" t="s">
        <v>89</v>
      </c>
      <c r="B535" s="4" t="s">
        <v>35</v>
      </c>
      <c r="C535" s="12">
        <v>26.432700000000001</v>
      </c>
      <c r="D535" s="28">
        <v>0.50394444400000005</v>
      </c>
      <c r="E535" s="19">
        <f t="shared" si="8"/>
        <v>26.432700000000001</v>
      </c>
      <c r="F535" s="19">
        <f>C535*'Model Inputs'!$B$20</f>
        <v>1.8502890000000003</v>
      </c>
      <c r="G535" s="31">
        <f>C535*'Model Inputs'!$B$21</f>
        <v>2.907597E-3</v>
      </c>
    </row>
    <row r="536" spans="1:7">
      <c r="A536" s="8" t="s">
        <v>89</v>
      </c>
      <c r="B536" s="4" t="s">
        <v>38</v>
      </c>
      <c r="C536" s="12">
        <v>40.748699999999999</v>
      </c>
      <c r="D536" s="28">
        <v>0.74127777800000005</v>
      </c>
      <c r="E536" s="19">
        <f t="shared" si="8"/>
        <v>40.748699999999999</v>
      </c>
      <c r="F536" s="19">
        <f>C536*'Model Inputs'!$B$20</f>
        <v>2.8524090000000002</v>
      </c>
      <c r="G536" s="31">
        <f>C536*'Model Inputs'!$B$21</f>
        <v>4.4823570000000002E-3</v>
      </c>
    </row>
    <row r="537" spans="1:7">
      <c r="A537" s="8" t="s">
        <v>89</v>
      </c>
      <c r="B537" s="4" t="s">
        <v>42</v>
      </c>
      <c r="C537" s="12">
        <v>29.968800000000002</v>
      </c>
      <c r="D537" s="28">
        <v>0.55683333300000004</v>
      </c>
      <c r="E537" s="19">
        <f t="shared" si="8"/>
        <v>29.968800000000002</v>
      </c>
      <c r="F537" s="19">
        <f>C537*'Model Inputs'!$B$20</f>
        <v>2.0978160000000003</v>
      </c>
      <c r="G537" s="31">
        <f>C537*'Model Inputs'!$B$21</f>
        <v>3.2965680000000002E-3</v>
      </c>
    </row>
    <row r="538" spans="1:7">
      <c r="A538" s="8" t="s">
        <v>89</v>
      </c>
      <c r="B538" s="4" t="s">
        <v>46</v>
      </c>
      <c r="C538" s="12">
        <v>19.978899999999999</v>
      </c>
      <c r="D538" s="28">
        <v>0.44258333300000002</v>
      </c>
      <c r="E538" s="19">
        <f t="shared" si="8"/>
        <v>19.978899999999999</v>
      </c>
      <c r="F538" s="19">
        <f>C538*'Model Inputs'!$B$20</f>
        <v>1.3985230000000002</v>
      </c>
      <c r="G538" s="31">
        <f>C538*'Model Inputs'!$B$21</f>
        <v>2.1976790000000001E-3</v>
      </c>
    </row>
    <row r="539" spans="1:7">
      <c r="A539" s="8" t="s">
        <v>89</v>
      </c>
      <c r="B539" s="4" t="s">
        <v>49</v>
      </c>
      <c r="C539" s="12">
        <v>38.531100000000002</v>
      </c>
      <c r="D539" s="28">
        <v>0.72072222200000002</v>
      </c>
      <c r="E539" s="19">
        <f t="shared" si="8"/>
        <v>38.531100000000002</v>
      </c>
      <c r="F539" s="19">
        <f>C539*'Model Inputs'!$B$20</f>
        <v>2.6971770000000004</v>
      </c>
      <c r="G539" s="31">
        <f>C539*'Model Inputs'!$B$21</f>
        <v>4.238421E-3</v>
      </c>
    </row>
    <row r="540" spans="1:7">
      <c r="A540" s="8" t="s">
        <v>89</v>
      </c>
      <c r="B540" s="4" t="s">
        <v>52</v>
      </c>
      <c r="C540" s="12">
        <v>5.3728999999999996</v>
      </c>
      <c r="D540" s="28">
        <v>0.16488888900000001</v>
      </c>
      <c r="E540" s="19">
        <f t="shared" si="8"/>
        <v>5.3728999999999996</v>
      </c>
      <c r="F540" s="19">
        <f>C540*'Model Inputs'!$B$20</f>
        <v>0.37610300000000002</v>
      </c>
      <c r="G540" s="31">
        <f>C540*'Model Inputs'!$B$21</f>
        <v>5.9101899999999992E-4</v>
      </c>
    </row>
    <row r="541" spans="1:7">
      <c r="A541" s="8" t="s">
        <v>89</v>
      </c>
      <c r="B541" s="4" t="s">
        <v>55</v>
      </c>
      <c r="C541" s="12">
        <v>12.8621</v>
      </c>
      <c r="D541" s="28">
        <v>0.343861111</v>
      </c>
      <c r="E541" s="19">
        <f t="shared" si="8"/>
        <v>12.8621</v>
      </c>
      <c r="F541" s="19">
        <f>C541*'Model Inputs'!$B$20</f>
        <v>0.90034700000000012</v>
      </c>
      <c r="G541" s="31">
        <f>C541*'Model Inputs'!$B$21</f>
        <v>1.4148310000000001E-3</v>
      </c>
    </row>
    <row r="542" spans="1:7">
      <c r="A542" s="8" t="s">
        <v>89</v>
      </c>
      <c r="B542" s="4" t="s">
        <v>58</v>
      </c>
      <c r="C542" s="12">
        <v>10.1005</v>
      </c>
      <c r="D542" s="28">
        <v>0.215388889</v>
      </c>
      <c r="E542" s="19">
        <f t="shared" si="8"/>
        <v>10.1005</v>
      </c>
      <c r="F542" s="19">
        <f>C542*'Model Inputs'!$B$20</f>
        <v>0.70703500000000008</v>
      </c>
      <c r="G542" s="31">
        <f>C542*'Model Inputs'!$B$21</f>
        <v>1.1110550000000001E-3</v>
      </c>
    </row>
    <row r="543" spans="1:7">
      <c r="A543" s="8" t="s">
        <v>89</v>
      </c>
      <c r="B543" s="4" t="s">
        <v>61</v>
      </c>
      <c r="C543" s="12">
        <v>26.0687</v>
      </c>
      <c r="D543" s="28">
        <v>0.52547222199999999</v>
      </c>
      <c r="E543" s="19">
        <f t="shared" si="8"/>
        <v>26.0687</v>
      </c>
      <c r="F543" s="19">
        <f>C543*'Model Inputs'!$B$20</f>
        <v>1.8248090000000001</v>
      </c>
      <c r="G543" s="31">
        <f>C543*'Model Inputs'!$B$21</f>
        <v>2.8675570000000002E-3</v>
      </c>
    </row>
    <row r="544" spans="1:7">
      <c r="A544" s="8" t="s">
        <v>89</v>
      </c>
      <c r="B544" s="4" t="s">
        <v>64</v>
      </c>
      <c r="C544" s="12">
        <v>25.9208</v>
      </c>
      <c r="D544" s="28">
        <v>0.54180555600000002</v>
      </c>
      <c r="E544" s="19">
        <f t="shared" si="8"/>
        <v>25.9208</v>
      </c>
      <c r="F544" s="19">
        <f>C544*'Model Inputs'!$B$20</f>
        <v>1.8144560000000001</v>
      </c>
      <c r="G544" s="31">
        <f>C544*'Model Inputs'!$B$21</f>
        <v>2.851288E-3</v>
      </c>
    </row>
    <row r="545" spans="1:7">
      <c r="A545" s="8" t="s">
        <v>89</v>
      </c>
      <c r="B545" s="4" t="s">
        <v>67</v>
      </c>
      <c r="C545" s="12">
        <v>14.354200000000001</v>
      </c>
      <c r="D545" s="28">
        <v>0.29263888900000001</v>
      </c>
      <c r="E545" s="19">
        <f t="shared" si="8"/>
        <v>14.354200000000001</v>
      </c>
      <c r="F545" s="19">
        <f>C545*'Model Inputs'!$B$20</f>
        <v>1.0047940000000002</v>
      </c>
      <c r="G545" s="31">
        <f>C545*'Model Inputs'!$B$21</f>
        <v>1.5789620000000002E-3</v>
      </c>
    </row>
    <row r="546" spans="1:7">
      <c r="A546" s="8" t="s">
        <v>89</v>
      </c>
      <c r="B546" s="4" t="s">
        <v>70</v>
      </c>
      <c r="C546" s="12">
        <v>18.244399999999999</v>
      </c>
      <c r="D546" s="28">
        <v>0.43152777799999997</v>
      </c>
      <c r="E546" s="19">
        <f t="shared" si="8"/>
        <v>18.244399999999999</v>
      </c>
      <c r="F546" s="19">
        <f>C546*'Model Inputs'!$B$20</f>
        <v>1.2771080000000001</v>
      </c>
      <c r="G546" s="31">
        <f>C546*'Model Inputs'!$B$21</f>
        <v>2.006884E-3</v>
      </c>
    </row>
    <row r="547" spans="1:7">
      <c r="A547" s="8" t="s">
        <v>89</v>
      </c>
      <c r="B547" s="4" t="s">
        <v>73</v>
      </c>
      <c r="C547" s="12">
        <v>15.779199999999999</v>
      </c>
      <c r="D547" s="28">
        <v>0.40075</v>
      </c>
      <c r="E547" s="19">
        <f t="shared" si="8"/>
        <v>15.779199999999999</v>
      </c>
      <c r="F547" s="19">
        <f>C547*'Model Inputs'!$B$20</f>
        <v>1.104544</v>
      </c>
      <c r="G547" s="31">
        <f>C547*'Model Inputs'!$B$21</f>
        <v>1.7357119999999999E-3</v>
      </c>
    </row>
    <row r="548" spans="1:7">
      <c r="A548" s="8" t="s">
        <v>89</v>
      </c>
      <c r="B548" s="4" t="s">
        <v>76</v>
      </c>
      <c r="C548" s="12">
        <v>26.753</v>
      </c>
      <c r="D548" s="28">
        <v>0.50194444400000005</v>
      </c>
      <c r="E548" s="19">
        <f t="shared" si="8"/>
        <v>26.753</v>
      </c>
      <c r="F548" s="19">
        <f>C548*'Model Inputs'!$B$20</f>
        <v>1.8727100000000001</v>
      </c>
      <c r="G548" s="31">
        <f>C548*'Model Inputs'!$B$21</f>
        <v>2.94283E-3</v>
      </c>
    </row>
    <row r="549" spans="1:7">
      <c r="A549" s="8" t="s">
        <v>89</v>
      </c>
      <c r="B549" s="4" t="s">
        <v>79</v>
      </c>
      <c r="C549" s="12">
        <v>21.718</v>
      </c>
      <c r="D549" s="28">
        <v>0.47222222200000002</v>
      </c>
      <c r="E549" s="19">
        <f t="shared" si="8"/>
        <v>21.718</v>
      </c>
      <c r="F549" s="19">
        <f>C549*'Model Inputs'!$B$20</f>
        <v>1.5202600000000002</v>
      </c>
      <c r="G549" s="31">
        <f>C549*'Model Inputs'!$B$21</f>
        <v>2.3889800000000002E-3</v>
      </c>
    </row>
    <row r="550" spans="1:7">
      <c r="A550" s="8" t="s">
        <v>89</v>
      </c>
      <c r="B550" s="4" t="s">
        <v>82</v>
      </c>
      <c r="C550" s="12">
        <v>29.8353</v>
      </c>
      <c r="D550" s="28">
        <v>0.58786111100000005</v>
      </c>
      <c r="E550" s="19">
        <f t="shared" si="8"/>
        <v>29.8353</v>
      </c>
      <c r="F550" s="19">
        <f>C550*'Model Inputs'!$B$20</f>
        <v>2.0884710000000002</v>
      </c>
      <c r="G550" s="31">
        <f>C550*'Model Inputs'!$B$21</f>
        <v>3.2818830000000002E-3</v>
      </c>
    </row>
    <row r="551" spans="1:7">
      <c r="A551" s="8" t="s">
        <v>89</v>
      </c>
      <c r="B551" s="4" t="s">
        <v>85</v>
      </c>
      <c r="C551" s="12">
        <v>18.380400000000002</v>
      </c>
      <c r="D551" s="28">
        <v>0.39627777800000002</v>
      </c>
      <c r="E551" s="19">
        <f t="shared" si="8"/>
        <v>18.380400000000002</v>
      </c>
      <c r="F551" s="19">
        <f>C551*'Model Inputs'!$B$20</f>
        <v>1.2866280000000003</v>
      </c>
      <c r="G551" s="31">
        <f>C551*'Model Inputs'!$B$21</f>
        <v>2.0218440000000001E-3</v>
      </c>
    </row>
    <row r="552" spans="1:7">
      <c r="A552" s="8" t="s">
        <v>89</v>
      </c>
      <c r="B552" s="4" t="s">
        <v>92</v>
      </c>
      <c r="C552" s="12">
        <v>17.565899999999999</v>
      </c>
      <c r="D552" s="28">
        <v>0.37788888900000001</v>
      </c>
      <c r="E552" s="19">
        <f t="shared" si="8"/>
        <v>17.565899999999999</v>
      </c>
      <c r="F552" s="19">
        <f>C552*'Model Inputs'!$B$20</f>
        <v>1.2296130000000001</v>
      </c>
      <c r="G552" s="31">
        <f>C552*'Model Inputs'!$B$21</f>
        <v>1.932249E-3</v>
      </c>
    </row>
    <row r="553" spans="1:7">
      <c r="A553" s="8" t="s">
        <v>89</v>
      </c>
      <c r="B553" s="4" t="s">
        <v>95</v>
      </c>
      <c r="C553" s="12">
        <v>7.6894999999999998</v>
      </c>
      <c r="D553" s="28">
        <v>0.17933333300000001</v>
      </c>
      <c r="E553" s="19">
        <f t="shared" si="8"/>
        <v>7.6894999999999998</v>
      </c>
      <c r="F553" s="19">
        <f>C553*'Model Inputs'!$B$20</f>
        <v>0.53826499999999999</v>
      </c>
      <c r="G553" s="31">
        <f>C553*'Model Inputs'!$B$21</f>
        <v>8.4584500000000002E-4</v>
      </c>
    </row>
    <row r="554" spans="1:7">
      <c r="A554" s="8" t="s">
        <v>92</v>
      </c>
      <c r="B554" s="4" t="s">
        <v>2</v>
      </c>
      <c r="C554" s="12">
        <v>12.5969</v>
      </c>
      <c r="D554" s="28">
        <v>0.30022222199999998</v>
      </c>
      <c r="E554" s="19">
        <f t="shared" si="8"/>
        <v>12.5969</v>
      </c>
      <c r="F554" s="19">
        <f>C554*'Model Inputs'!$B$20</f>
        <v>0.88178300000000009</v>
      </c>
      <c r="G554" s="31">
        <f>C554*'Model Inputs'!$B$21</f>
        <v>1.385659E-3</v>
      </c>
    </row>
    <row r="555" spans="1:7">
      <c r="A555" s="8" t="s">
        <v>92</v>
      </c>
      <c r="B555" s="4" t="s">
        <v>18</v>
      </c>
      <c r="C555" s="12">
        <v>6.5423</v>
      </c>
      <c r="D555" s="28">
        <v>0.18777777800000001</v>
      </c>
      <c r="E555" s="19">
        <f t="shared" si="8"/>
        <v>6.5423</v>
      </c>
      <c r="F555" s="19">
        <f>C555*'Model Inputs'!$B$20</f>
        <v>0.45796100000000006</v>
      </c>
      <c r="G555" s="31">
        <f>C555*'Model Inputs'!$B$21</f>
        <v>7.19653E-4</v>
      </c>
    </row>
    <row r="556" spans="1:7">
      <c r="A556" s="8" t="s">
        <v>92</v>
      </c>
      <c r="B556" s="4" t="s">
        <v>23</v>
      </c>
      <c r="C556" s="12">
        <v>2.5158999999999998</v>
      </c>
      <c r="D556" s="28">
        <v>8.9444443999999998E-2</v>
      </c>
      <c r="E556" s="19">
        <f t="shared" si="8"/>
        <v>2.5158999999999998</v>
      </c>
      <c r="F556" s="19">
        <f>C556*'Model Inputs'!$B$20</f>
        <v>0.17611299999999999</v>
      </c>
      <c r="G556" s="31">
        <f>C556*'Model Inputs'!$B$21</f>
        <v>2.7674899999999996E-4</v>
      </c>
    </row>
    <row r="557" spans="1:7">
      <c r="A557" s="8" t="s">
        <v>92</v>
      </c>
      <c r="B557" s="4" t="s">
        <v>27</v>
      </c>
      <c r="C557" s="12">
        <v>14.523999999999999</v>
      </c>
      <c r="D557" s="28">
        <v>0.29397222200000001</v>
      </c>
      <c r="E557" s="19">
        <f t="shared" si="8"/>
        <v>14.523999999999999</v>
      </c>
      <c r="F557" s="19">
        <f>C557*'Model Inputs'!$B$20</f>
        <v>1.01668</v>
      </c>
      <c r="G557" s="31">
        <f>C557*'Model Inputs'!$B$21</f>
        <v>1.59764E-3</v>
      </c>
    </row>
    <row r="558" spans="1:7">
      <c r="A558" s="8" t="s">
        <v>92</v>
      </c>
      <c r="B558" s="4" t="s">
        <v>31</v>
      </c>
      <c r="C558" s="12">
        <v>17.709800000000001</v>
      </c>
      <c r="D558" s="28">
        <v>0.36397222200000001</v>
      </c>
      <c r="E558" s="19">
        <f t="shared" si="8"/>
        <v>17.709800000000001</v>
      </c>
      <c r="F558" s="19">
        <f>C558*'Model Inputs'!$B$20</f>
        <v>1.2396860000000003</v>
      </c>
      <c r="G558" s="31">
        <f>C558*'Model Inputs'!$B$21</f>
        <v>1.9480780000000002E-3</v>
      </c>
    </row>
    <row r="559" spans="1:7">
      <c r="A559" s="8" t="s">
        <v>92</v>
      </c>
      <c r="B559" s="4" t="s">
        <v>35</v>
      </c>
      <c r="C559" s="12">
        <v>13.5382</v>
      </c>
      <c r="D559" s="28">
        <v>0.26550000000000001</v>
      </c>
      <c r="E559" s="19">
        <f t="shared" si="8"/>
        <v>13.5382</v>
      </c>
      <c r="F559" s="19">
        <f>C559*'Model Inputs'!$B$20</f>
        <v>0.94767400000000013</v>
      </c>
      <c r="G559" s="31">
        <f>C559*'Model Inputs'!$B$21</f>
        <v>1.489202E-3</v>
      </c>
    </row>
    <row r="560" spans="1:7">
      <c r="A560" s="8" t="s">
        <v>92</v>
      </c>
      <c r="B560" s="4" t="s">
        <v>38</v>
      </c>
      <c r="C560" s="12">
        <v>35.8613</v>
      </c>
      <c r="D560" s="28">
        <v>0.62341666699999998</v>
      </c>
      <c r="E560" s="19">
        <f t="shared" si="8"/>
        <v>35.8613</v>
      </c>
      <c r="F560" s="19">
        <f>C560*'Model Inputs'!$B$20</f>
        <v>2.5102910000000001</v>
      </c>
      <c r="G560" s="31">
        <f>C560*'Model Inputs'!$B$21</f>
        <v>3.9447430000000006E-3</v>
      </c>
    </row>
    <row r="561" spans="1:7">
      <c r="A561" s="8" t="s">
        <v>92</v>
      </c>
      <c r="B561" s="4" t="s">
        <v>42</v>
      </c>
      <c r="C561" s="12">
        <v>17.074200000000001</v>
      </c>
      <c r="D561" s="28">
        <v>0.31838888900000001</v>
      </c>
      <c r="E561" s="19">
        <f t="shared" si="8"/>
        <v>17.074200000000001</v>
      </c>
      <c r="F561" s="19">
        <f>C561*'Model Inputs'!$B$20</f>
        <v>1.1951940000000001</v>
      </c>
      <c r="G561" s="31">
        <f>C561*'Model Inputs'!$B$21</f>
        <v>1.8781620000000003E-3</v>
      </c>
    </row>
    <row r="562" spans="1:7">
      <c r="A562" s="8" t="s">
        <v>92</v>
      </c>
      <c r="B562" s="4" t="s">
        <v>46</v>
      </c>
      <c r="C562" s="12">
        <v>12.326700000000001</v>
      </c>
      <c r="D562" s="28">
        <v>0.27244444400000001</v>
      </c>
      <c r="E562" s="19">
        <f t="shared" si="8"/>
        <v>12.326700000000001</v>
      </c>
      <c r="F562" s="19">
        <f>C562*'Model Inputs'!$B$20</f>
        <v>0.86286900000000011</v>
      </c>
      <c r="G562" s="31">
        <f>C562*'Model Inputs'!$B$21</f>
        <v>1.3559370000000002E-3</v>
      </c>
    </row>
    <row r="563" spans="1:7">
      <c r="A563" s="8" t="s">
        <v>92</v>
      </c>
      <c r="B563" s="4" t="s">
        <v>49</v>
      </c>
      <c r="C563" s="12">
        <v>33.643700000000003</v>
      </c>
      <c r="D563" s="28">
        <v>0.60286111099999995</v>
      </c>
      <c r="E563" s="19">
        <f t="shared" si="8"/>
        <v>33.643700000000003</v>
      </c>
      <c r="F563" s="19">
        <f>C563*'Model Inputs'!$B$20</f>
        <v>2.3550590000000002</v>
      </c>
      <c r="G563" s="31">
        <f>C563*'Model Inputs'!$B$21</f>
        <v>3.7008070000000004E-3</v>
      </c>
    </row>
    <row r="564" spans="1:7">
      <c r="A564" s="8" t="s">
        <v>92</v>
      </c>
      <c r="B564" s="4" t="s">
        <v>52</v>
      </c>
      <c r="C564" s="12">
        <v>20.113800000000001</v>
      </c>
      <c r="D564" s="28">
        <v>0.43152777799999997</v>
      </c>
      <c r="E564" s="19">
        <f t="shared" si="8"/>
        <v>20.113800000000001</v>
      </c>
      <c r="F564" s="19">
        <f>C564*'Model Inputs'!$B$20</f>
        <v>1.4079660000000003</v>
      </c>
      <c r="G564" s="31">
        <f>C564*'Model Inputs'!$B$21</f>
        <v>2.2125180000000001E-3</v>
      </c>
    </row>
    <row r="565" spans="1:7">
      <c r="A565" s="8" t="s">
        <v>92</v>
      </c>
      <c r="B565" s="4" t="s">
        <v>55</v>
      </c>
      <c r="C565" s="12">
        <v>19.302700000000002</v>
      </c>
      <c r="D565" s="28">
        <v>0.44280555599999999</v>
      </c>
      <c r="E565" s="19">
        <f t="shared" si="8"/>
        <v>19.302700000000002</v>
      </c>
      <c r="F565" s="19">
        <f>C565*'Model Inputs'!$B$20</f>
        <v>1.3511890000000002</v>
      </c>
      <c r="G565" s="31">
        <f>C565*'Model Inputs'!$B$21</f>
        <v>2.1232970000000001E-3</v>
      </c>
    </row>
    <row r="566" spans="1:7">
      <c r="A566" s="8" t="s">
        <v>92</v>
      </c>
      <c r="B566" s="4" t="s">
        <v>58</v>
      </c>
      <c r="C566" s="12">
        <v>22.8903</v>
      </c>
      <c r="D566" s="28">
        <v>0.45858333299999998</v>
      </c>
      <c r="E566" s="19">
        <f t="shared" si="8"/>
        <v>22.8903</v>
      </c>
      <c r="F566" s="19">
        <f>C566*'Model Inputs'!$B$20</f>
        <v>1.6023210000000001</v>
      </c>
      <c r="G566" s="31">
        <f>C566*'Model Inputs'!$B$21</f>
        <v>2.517933E-3</v>
      </c>
    </row>
    <row r="567" spans="1:7">
      <c r="A567" s="8" t="s">
        <v>92</v>
      </c>
      <c r="B567" s="4" t="s">
        <v>61</v>
      </c>
      <c r="C567" s="12">
        <v>20.047799999999999</v>
      </c>
      <c r="D567" s="28">
        <v>0.35975000000000001</v>
      </c>
      <c r="E567" s="19">
        <f t="shared" si="8"/>
        <v>20.047799999999999</v>
      </c>
      <c r="F567" s="19">
        <f>C567*'Model Inputs'!$B$20</f>
        <v>1.403346</v>
      </c>
      <c r="G567" s="31">
        <f>C567*'Model Inputs'!$B$21</f>
        <v>2.2052579999999999E-3</v>
      </c>
    </row>
    <row r="568" spans="1:7">
      <c r="A568" s="8" t="s">
        <v>92</v>
      </c>
      <c r="B568" s="4" t="s">
        <v>64</v>
      </c>
      <c r="C568" s="12">
        <v>21.0334</v>
      </c>
      <c r="D568" s="28">
        <v>0.42394444399999998</v>
      </c>
      <c r="E568" s="19">
        <f t="shared" si="8"/>
        <v>21.0334</v>
      </c>
      <c r="F568" s="19">
        <f>C568*'Model Inputs'!$B$20</f>
        <v>1.4723380000000001</v>
      </c>
      <c r="G568" s="31">
        <f>C568*'Model Inputs'!$B$21</f>
        <v>2.3136739999999999E-3</v>
      </c>
    </row>
    <row r="569" spans="1:7">
      <c r="A569" s="8" t="s">
        <v>92</v>
      </c>
      <c r="B569" s="4" t="s">
        <v>67</v>
      </c>
      <c r="C569" s="12">
        <v>15.5076</v>
      </c>
      <c r="D569" s="28">
        <v>0.282861111</v>
      </c>
      <c r="E569" s="19">
        <f t="shared" si="8"/>
        <v>15.5076</v>
      </c>
      <c r="F569" s="19">
        <f>C569*'Model Inputs'!$B$20</f>
        <v>1.0855320000000002</v>
      </c>
      <c r="G569" s="31">
        <f>C569*'Model Inputs'!$B$21</f>
        <v>1.7058360000000001E-3</v>
      </c>
    </row>
    <row r="570" spans="1:7">
      <c r="A570" s="8" t="s">
        <v>92</v>
      </c>
      <c r="B570" s="4" t="s">
        <v>70</v>
      </c>
      <c r="C570" s="12">
        <v>27.769400000000001</v>
      </c>
      <c r="D570" s="28">
        <v>0.58105555600000003</v>
      </c>
      <c r="E570" s="19">
        <f t="shared" si="8"/>
        <v>27.769400000000001</v>
      </c>
      <c r="F570" s="19">
        <f>C570*'Model Inputs'!$B$20</f>
        <v>1.9438580000000003</v>
      </c>
      <c r="G570" s="31">
        <f>C570*'Model Inputs'!$B$21</f>
        <v>3.0546340000000001E-3</v>
      </c>
    </row>
    <row r="571" spans="1:7">
      <c r="A571" s="8" t="s">
        <v>92</v>
      </c>
      <c r="B571" s="4" t="s">
        <v>73</v>
      </c>
      <c r="C571" s="12">
        <v>23.954000000000001</v>
      </c>
      <c r="D571" s="28">
        <v>0.45602777799999999</v>
      </c>
      <c r="E571" s="19">
        <f t="shared" si="8"/>
        <v>23.954000000000001</v>
      </c>
      <c r="F571" s="19">
        <f>C571*'Model Inputs'!$B$20</f>
        <v>1.6767800000000002</v>
      </c>
      <c r="G571" s="31">
        <f>C571*'Model Inputs'!$B$21</f>
        <v>2.6349400000000001E-3</v>
      </c>
    </row>
    <row r="572" spans="1:7">
      <c r="A572" s="8" t="s">
        <v>92</v>
      </c>
      <c r="B572" s="4" t="s">
        <v>76</v>
      </c>
      <c r="C572" s="12">
        <v>10.0329</v>
      </c>
      <c r="D572" s="28">
        <v>0.24822222199999999</v>
      </c>
      <c r="E572" s="19">
        <f t="shared" si="8"/>
        <v>10.0329</v>
      </c>
      <c r="F572" s="19">
        <f>C572*'Model Inputs'!$B$20</f>
        <v>0.70230300000000001</v>
      </c>
      <c r="G572" s="31">
        <f>C572*'Model Inputs'!$B$21</f>
        <v>1.1036189999999999E-3</v>
      </c>
    </row>
    <row r="573" spans="1:7">
      <c r="A573" s="8" t="s">
        <v>92</v>
      </c>
      <c r="B573" s="4" t="s">
        <v>79</v>
      </c>
      <c r="C573" s="12">
        <v>11.3809</v>
      </c>
      <c r="D573" s="28">
        <v>0.32247222199999998</v>
      </c>
      <c r="E573" s="19">
        <f t="shared" si="8"/>
        <v>11.3809</v>
      </c>
      <c r="F573" s="19">
        <f>C573*'Model Inputs'!$B$20</f>
        <v>0.79666300000000012</v>
      </c>
      <c r="G573" s="31">
        <f>C573*'Model Inputs'!$B$21</f>
        <v>1.2518990000000001E-3</v>
      </c>
    </row>
    <row r="574" spans="1:7">
      <c r="A574" s="8" t="s">
        <v>92</v>
      </c>
      <c r="B574" s="4" t="s">
        <v>82</v>
      </c>
      <c r="C574" s="12">
        <v>12.231199999999999</v>
      </c>
      <c r="D574" s="28">
        <v>0.29594444399999997</v>
      </c>
      <c r="E574" s="19">
        <f t="shared" si="8"/>
        <v>12.231199999999999</v>
      </c>
      <c r="F574" s="19">
        <f>C574*'Model Inputs'!$B$20</f>
        <v>0.85618400000000006</v>
      </c>
      <c r="G574" s="31">
        <f>C574*'Model Inputs'!$B$21</f>
        <v>1.3454319999999999E-3</v>
      </c>
    </row>
    <row r="575" spans="1:7">
      <c r="A575" s="8" t="s">
        <v>92</v>
      </c>
      <c r="B575" s="4" t="s">
        <v>85</v>
      </c>
      <c r="C575" s="12">
        <v>13.8371</v>
      </c>
      <c r="D575" s="28">
        <v>0.291583333</v>
      </c>
      <c r="E575" s="19">
        <f t="shared" si="8"/>
        <v>13.8371</v>
      </c>
      <c r="F575" s="19">
        <f>C575*'Model Inputs'!$B$20</f>
        <v>0.96859700000000004</v>
      </c>
      <c r="G575" s="31">
        <f>C575*'Model Inputs'!$B$21</f>
        <v>1.522081E-3</v>
      </c>
    </row>
    <row r="576" spans="1:7">
      <c r="A576" s="8" t="s">
        <v>92</v>
      </c>
      <c r="B576" s="4" t="s">
        <v>89</v>
      </c>
      <c r="C576" s="12">
        <v>15.992800000000001</v>
      </c>
      <c r="D576" s="28">
        <v>0.34713888900000001</v>
      </c>
      <c r="E576" s="19">
        <f t="shared" si="8"/>
        <v>15.992800000000001</v>
      </c>
      <c r="F576" s="19">
        <f>C576*'Model Inputs'!$B$20</f>
        <v>1.1194960000000003</v>
      </c>
      <c r="G576" s="31">
        <f>C576*'Model Inputs'!$B$21</f>
        <v>1.7592080000000002E-3</v>
      </c>
    </row>
    <row r="577" spans="1:7">
      <c r="A577" s="8" t="s">
        <v>92</v>
      </c>
      <c r="B577" s="4" t="s">
        <v>95</v>
      </c>
      <c r="C577" s="12">
        <v>20.479299999999999</v>
      </c>
      <c r="D577" s="28">
        <v>0.42252777800000002</v>
      </c>
      <c r="E577" s="19">
        <f t="shared" si="8"/>
        <v>20.479299999999999</v>
      </c>
      <c r="F577" s="19">
        <f>C577*'Model Inputs'!$B$20</f>
        <v>1.433551</v>
      </c>
      <c r="G577" s="31">
        <f>C577*'Model Inputs'!$B$21</f>
        <v>2.2527229999999999E-3</v>
      </c>
    </row>
    <row r="578" spans="1:7">
      <c r="A578" s="8" t="s">
        <v>95</v>
      </c>
      <c r="B578" s="4" t="s">
        <v>2</v>
      </c>
      <c r="C578" s="12">
        <v>12.617599999999999</v>
      </c>
      <c r="D578" s="28">
        <v>0.26136111099999998</v>
      </c>
      <c r="E578" s="19">
        <f t="shared" ref="E578:E601" si="9">C578</f>
        <v>12.617599999999999</v>
      </c>
      <c r="F578" s="19">
        <f>C578*'Model Inputs'!$B$20</f>
        <v>0.88323200000000002</v>
      </c>
      <c r="G578" s="31">
        <f>C578*'Model Inputs'!$B$21</f>
        <v>1.387936E-3</v>
      </c>
    </row>
    <row r="579" spans="1:7">
      <c r="A579" s="8" t="s">
        <v>95</v>
      </c>
      <c r="B579" s="4" t="s">
        <v>18</v>
      </c>
      <c r="C579" s="12">
        <v>14.357900000000001</v>
      </c>
      <c r="D579" s="28">
        <v>0.30336111100000002</v>
      </c>
      <c r="E579" s="19">
        <f t="shared" si="9"/>
        <v>14.357900000000001</v>
      </c>
      <c r="F579" s="19">
        <f>C579*'Model Inputs'!$B$20</f>
        <v>1.0050530000000002</v>
      </c>
      <c r="G579" s="31">
        <f>C579*'Model Inputs'!$B$21</f>
        <v>1.5793690000000002E-3</v>
      </c>
    </row>
    <row r="580" spans="1:7">
      <c r="A580" s="8" t="s">
        <v>95</v>
      </c>
      <c r="B580" s="4" t="s">
        <v>23</v>
      </c>
      <c r="C580" s="12">
        <v>20.8262</v>
      </c>
      <c r="D580" s="28">
        <v>0.44019444400000002</v>
      </c>
      <c r="E580" s="19">
        <f t="shared" si="9"/>
        <v>20.8262</v>
      </c>
      <c r="F580" s="19">
        <f>C580*'Model Inputs'!$B$20</f>
        <v>1.4578340000000001</v>
      </c>
      <c r="G580" s="31">
        <f>C580*'Model Inputs'!$B$21</f>
        <v>2.2908820000000002E-3</v>
      </c>
    </row>
    <row r="581" spans="1:7">
      <c r="A581" s="8" t="s">
        <v>95</v>
      </c>
      <c r="B581" s="4" t="s">
        <v>27</v>
      </c>
      <c r="C581" s="12">
        <v>22.018799999999999</v>
      </c>
      <c r="D581" s="28">
        <v>0.35538888899999999</v>
      </c>
      <c r="E581" s="19">
        <f t="shared" si="9"/>
        <v>22.018799999999999</v>
      </c>
      <c r="F581" s="19">
        <f>C581*'Model Inputs'!$B$20</f>
        <v>1.5413160000000001</v>
      </c>
      <c r="G581" s="31">
        <f>C581*'Model Inputs'!$B$21</f>
        <v>2.4220679999999999E-3</v>
      </c>
    </row>
    <row r="582" spans="1:7">
      <c r="A582" s="8" t="s">
        <v>95</v>
      </c>
      <c r="B582" s="4" t="s">
        <v>31</v>
      </c>
      <c r="C582" s="12">
        <v>29.563700000000001</v>
      </c>
      <c r="D582" s="28">
        <v>0.46505555599999998</v>
      </c>
      <c r="E582" s="19">
        <f t="shared" si="9"/>
        <v>29.563700000000001</v>
      </c>
      <c r="F582" s="19">
        <f>C582*'Model Inputs'!$B$20</f>
        <v>2.0694590000000002</v>
      </c>
      <c r="G582" s="31">
        <f>C582*'Model Inputs'!$B$21</f>
        <v>3.2520070000000003E-3</v>
      </c>
    </row>
    <row r="583" spans="1:7">
      <c r="A583" s="8" t="s">
        <v>95</v>
      </c>
      <c r="B583" s="4" t="s">
        <v>35</v>
      </c>
      <c r="C583" s="12">
        <v>30.8414</v>
      </c>
      <c r="D583" s="28">
        <v>0.57416666699999996</v>
      </c>
      <c r="E583" s="19">
        <f t="shared" si="9"/>
        <v>30.8414</v>
      </c>
      <c r="F583" s="19">
        <f>C583*'Model Inputs'!$B$20</f>
        <v>2.1588980000000002</v>
      </c>
      <c r="G583" s="31">
        <f>C583*'Model Inputs'!$B$21</f>
        <v>3.3925540000000003E-3</v>
      </c>
    </row>
    <row r="584" spans="1:7">
      <c r="A584" s="8" t="s">
        <v>95</v>
      </c>
      <c r="B584" s="4" t="s">
        <v>38</v>
      </c>
      <c r="C584" s="12">
        <v>47.715200000000003</v>
      </c>
      <c r="D584" s="28">
        <v>0.72450000000000003</v>
      </c>
      <c r="E584" s="19">
        <f t="shared" si="9"/>
        <v>47.715200000000003</v>
      </c>
      <c r="F584" s="19">
        <f>C584*'Model Inputs'!$B$20</f>
        <v>3.3400640000000004</v>
      </c>
      <c r="G584" s="31">
        <f>C584*'Model Inputs'!$B$21</f>
        <v>5.2486720000000002E-3</v>
      </c>
    </row>
    <row r="585" spans="1:7">
      <c r="A585" s="8" t="s">
        <v>95</v>
      </c>
      <c r="B585" s="4" t="s">
        <v>42</v>
      </c>
      <c r="C585" s="12">
        <v>34.377499999999998</v>
      </c>
      <c r="D585" s="28">
        <v>0.62705555599999996</v>
      </c>
      <c r="E585" s="19">
        <f t="shared" si="9"/>
        <v>34.377499999999998</v>
      </c>
      <c r="F585" s="19">
        <f>C585*'Model Inputs'!$B$20</f>
        <v>2.406425</v>
      </c>
      <c r="G585" s="31">
        <f>C585*'Model Inputs'!$B$21</f>
        <v>3.781525E-3</v>
      </c>
    </row>
    <row r="586" spans="1:7">
      <c r="A586" s="8" t="s">
        <v>95</v>
      </c>
      <c r="B586" s="4" t="s">
        <v>46</v>
      </c>
      <c r="C586" s="12">
        <v>31.302499999999998</v>
      </c>
      <c r="D586" s="28">
        <v>0.47872222199999998</v>
      </c>
      <c r="E586" s="19">
        <f t="shared" si="9"/>
        <v>31.302499999999998</v>
      </c>
      <c r="F586" s="19">
        <f>C586*'Model Inputs'!$B$20</f>
        <v>2.1911750000000003</v>
      </c>
      <c r="G586" s="31">
        <f>C586*'Model Inputs'!$B$21</f>
        <v>3.443275E-3</v>
      </c>
    </row>
    <row r="587" spans="1:7">
      <c r="A587" s="8" t="s">
        <v>95</v>
      </c>
      <c r="B587" s="4" t="s">
        <v>49</v>
      </c>
      <c r="C587" s="12">
        <v>45.497599999999998</v>
      </c>
      <c r="D587" s="28">
        <v>0.703944444</v>
      </c>
      <c r="E587" s="19">
        <f t="shared" si="9"/>
        <v>45.497599999999998</v>
      </c>
      <c r="F587" s="19">
        <f>C587*'Model Inputs'!$B$20</f>
        <v>3.1848320000000001</v>
      </c>
      <c r="G587" s="31">
        <f>C587*'Model Inputs'!$B$21</f>
        <v>5.0047360000000001E-3</v>
      </c>
    </row>
    <row r="588" spans="1:7">
      <c r="A588" s="8" t="s">
        <v>95</v>
      </c>
      <c r="B588" s="4" t="s">
        <v>52</v>
      </c>
      <c r="C588" s="12">
        <v>5.1565000000000003</v>
      </c>
      <c r="D588" s="28">
        <v>0.13902777799999999</v>
      </c>
      <c r="E588" s="19">
        <f t="shared" si="9"/>
        <v>5.1565000000000003</v>
      </c>
      <c r="F588" s="19">
        <f>C588*'Model Inputs'!$B$20</f>
        <v>0.36095500000000008</v>
      </c>
      <c r="G588" s="31">
        <f>C588*'Model Inputs'!$B$21</f>
        <v>5.6721500000000004E-4</v>
      </c>
    </row>
    <row r="589" spans="1:7">
      <c r="A589" s="8" t="s">
        <v>95</v>
      </c>
      <c r="B589" s="4" t="s">
        <v>55</v>
      </c>
      <c r="C589" s="12">
        <v>16.383700000000001</v>
      </c>
      <c r="D589" s="28">
        <v>0.28100000000000003</v>
      </c>
      <c r="E589" s="19">
        <f t="shared" si="9"/>
        <v>16.383700000000001</v>
      </c>
      <c r="F589" s="19">
        <f>C589*'Model Inputs'!$B$20</f>
        <v>1.1468590000000001</v>
      </c>
      <c r="G589" s="31">
        <f>C589*'Model Inputs'!$B$21</f>
        <v>1.8022070000000001E-3</v>
      </c>
    </row>
    <row r="590" spans="1:7">
      <c r="A590" s="8" t="s">
        <v>95</v>
      </c>
      <c r="B590" s="4" t="s">
        <v>58</v>
      </c>
      <c r="C590" s="12">
        <v>3.5998999999999999</v>
      </c>
      <c r="D590" s="28">
        <v>8.6999999999999994E-2</v>
      </c>
      <c r="E590" s="19">
        <f t="shared" si="9"/>
        <v>3.5998999999999999</v>
      </c>
      <c r="F590" s="19">
        <f>C590*'Model Inputs'!$B$20</f>
        <v>0.25199300000000002</v>
      </c>
      <c r="G590" s="31">
        <f>C590*'Model Inputs'!$B$21</f>
        <v>3.9598900000000002E-4</v>
      </c>
    </row>
    <row r="591" spans="1:7">
      <c r="A591" s="8" t="s">
        <v>95</v>
      </c>
      <c r="B591" s="4" t="s">
        <v>61</v>
      </c>
      <c r="C591" s="12">
        <v>32.5871</v>
      </c>
      <c r="D591" s="28">
        <v>0.49080555599999998</v>
      </c>
      <c r="E591" s="19">
        <f t="shared" si="9"/>
        <v>32.5871</v>
      </c>
      <c r="F591" s="19">
        <f>C591*'Model Inputs'!$B$20</f>
        <v>2.2810970000000004</v>
      </c>
      <c r="G591" s="31">
        <f>C591*'Model Inputs'!$B$21</f>
        <v>3.5845809999999999E-3</v>
      </c>
    </row>
    <row r="592" spans="1:7">
      <c r="A592" s="8" t="s">
        <v>95</v>
      </c>
      <c r="B592" s="4" t="s">
        <v>64</v>
      </c>
      <c r="C592" s="12">
        <v>32.887300000000003</v>
      </c>
      <c r="D592" s="28">
        <v>0.525027778</v>
      </c>
      <c r="E592" s="19">
        <f t="shared" si="9"/>
        <v>32.887300000000003</v>
      </c>
      <c r="F592" s="19">
        <f>C592*'Model Inputs'!$B$20</f>
        <v>2.3021110000000005</v>
      </c>
      <c r="G592" s="31">
        <f>C592*'Model Inputs'!$B$21</f>
        <v>3.6176030000000005E-3</v>
      </c>
    </row>
    <row r="593" spans="1:7">
      <c r="A593" s="8" t="s">
        <v>95</v>
      </c>
      <c r="B593" s="4" t="s">
        <v>67</v>
      </c>
      <c r="C593" s="12">
        <v>18.1327</v>
      </c>
      <c r="D593" s="28">
        <v>0.361555556</v>
      </c>
      <c r="E593" s="19">
        <f t="shared" si="9"/>
        <v>18.1327</v>
      </c>
      <c r="F593" s="19">
        <f>C593*'Model Inputs'!$B$20</f>
        <v>1.2692890000000001</v>
      </c>
      <c r="G593" s="31">
        <f>C593*'Model Inputs'!$B$21</f>
        <v>1.9945969999999999E-3</v>
      </c>
    </row>
    <row r="594" spans="1:7">
      <c r="A594" s="8" t="s">
        <v>95</v>
      </c>
      <c r="B594" s="4" t="s">
        <v>70</v>
      </c>
      <c r="C594" s="12">
        <v>11.7438</v>
      </c>
      <c r="D594" s="28">
        <v>0.30313888900000002</v>
      </c>
      <c r="E594" s="19">
        <f t="shared" si="9"/>
        <v>11.7438</v>
      </c>
      <c r="F594" s="19">
        <f>C594*'Model Inputs'!$B$20</f>
        <v>0.82206600000000007</v>
      </c>
      <c r="G594" s="31">
        <f>C594*'Model Inputs'!$B$21</f>
        <v>1.2918180000000001E-3</v>
      </c>
    </row>
    <row r="595" spans="1:7">
      <c r="A595" s="8" t="s">
        <v>95</v>
      </c>
      <c r="B595" s="4" t="s">
        <v>73</v>
      </c>
      <c r="C595" s="12">
        <v>24.353400000000001</v>
      </c>
      <c r="D595" s="28">
        <v>0.47049999999999997</v>
      </c>
      <c r="E595" s="19">
        <f t="shared" si="9"/>
        <v>24.353400000000001</v>
      </c>
      <c r="F595" s="19">
        <f>C595*'Model Inputs'!$B$20</f>
        <v>1.7047380000000003</v>
      </c>
      <c r="G595" s="31">
        <f>C595*'Model Inputs'!$B$21</f>
        <v>2.6788740000000004E-3</v>
      </c>
    </row>
    <row r="596" spans="1:7">
      <c r="A596" s="8" t="s">
        <v>95</v>
      </c>
      <c r="B596" s="4" t="s">
        <v>76</v>
      </c>
      <c r="C596" s="12">
        <v>30.531500000000001</v>
      </c>
      <c r="D596" s="28">
        <v>0.57086111100000003</v>
      </c>
      <c r="E596" s="19">
        <f t="shared" si="9"/>
        <v>30.531500000000001</v>
      </c>
      <c r="F596" s="19">
        <f>C596*'Model Inputs'!$B$20</f>
        <v>2.1372050000000002</v>
      </c>
      <c r="G596" s="31">
        <f>C596*'Model Inputs'!$B$21</f>
        <v>3.3584650000000001E-3</v>
      </c>
    </row>
    <row r="597" spans="1:7">
      <c r="A597" s="8" t="s">
        <v>95</v>
      </c>
      <c r="B597" s="4" t="s">
        <v>79</v>
      </c>
      <c r="C597" s="12">
        <v>25.496500000000001</v>
      </c>
      <c r="D597" s="28">
        <v>0.54113888899999996</v>
      </c>
      <c r="E597" s="19">
        <f t="shared" si="9"/>
        <v>25.496500000000001</v>
      </c>
      <c r="F597" s="19">
        <f>C597*'Model Inputs'!$B$20</f>
        <v>1.7847550000000003</v>
      </c>
      <c r="G597" s="31">
        <f>C597*'Model Inputs'!$B$21</f>
        <v>2.8046150000000003E-3</v>
      </c>
    </row>
    <row r="598" spans="1:7">
      <c r="A598" s="8" t="s">
        <v>95</v>
      </c>
      <c r="B598" s="4" t="s">
        <v>82</v>
      </c>
      <c r="C598" s="12">
        <v>34.244</v>
      </c>
      <c r="D598" s="28">
        <v>0.65808333299999999</v>
      </c>
      <c r="E598" s="19">
        <f t="shared" si="9"/>
        <v>34.244</v>
      </c>
      <c r="F598" s="19">
        <f>C598*'Model Inputs'!$B$20</f>
        <v>2.3970800000000003</v>
      </c>
      <c r="G598" s="31">
        <f>C598*'Model Inputs'!$B$21</f>
        <v>3.76684E-3</v>
      </c>
    </row>
    <row r="599" spans="1:7">
      <c r="A599" s="8" t="s">
        <v>95</v>
      </c>
      <c r="B599" s="4" t="s">
        <v>85</v>
      </c>
      <c r="C599" s="12">
        <v>27.912600000000001</v>
      </c>
      <c r="D599" s="28">
        <v>0.41561111099999998</v>
      </c>
      <c r="E599" s="19">
        <f t="shared" si="9"/>
        <v>27.912600000000001</v>
      </c>
      <c r="F599" s="19">
        <f>C599*'Model Inputs'!$B$20</f>
        <v>1.9538820000000003</v>
      </c>
      <c r="G599" s="31">
        <f>C599*'Model Inputs'!$B$21</f>
        <v>3.070386E-3</v>
      </c>
    </row>
    <row r="600" spans="1:7">
      <c r="A600" s="8" t="s">
        <v>95</v>
      </c>
      <c r="B600" s="4" t="s">
        <v>89</v>
      </c>
      <c r="C600" s="12">
        <v>7.3939000000000004</v>
      </c>
      <c r="D600" s="28">
        <v>0.17025000000000001</v>
      </c>
      <c r="E600" s="19">
        <f t="shared" si="9"/>
        <v>7.3939000000000004</v>
      </c>
      <c r="F600" s="19">
        <f>C600*'Model Inputs'!$B$20</f>
        <v>0.51757300000000006</v>
      </c>
      <c r="G600" s="31">
        <f>C600*'Model Inputs'!$B$21</f>
        <v>8.1332900000000011E-4</v>
      </c>
    </row>
    <row r="601" spans="1:7">
      <c r="A601" s="9" t="s">
        <v>95</v>
      </c>
      <c r="B601" s="10" t="s">
        <v>92</v>
      </c>
      <c r="C601" s="26">
        <v>21.974699999999999</v>
      </c>
      <c r="D601" s="29">
        <v>0.44811111100000001</v>
      </c>
      <c r="E601" s="20">
        <f t="shared" si="9"/>
        <v>21.974699999999999</v>
      </c>
      <c r="F601" s="20">
        <f>C601*'Model Inputs'!$B$20</f>
        <v>1.5382290000000001</v>
      </c>
      <c r="G601" s="32">
        <f>C601*'Model Inputs'!$B$21</f>
        <v>2.4172169999999997E-3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4"/>
  <sheetViews>
    <sheetView showGridLines="0" workbookViewId="0">
      <pane ySplit="45" topLeftCell="A96" activePane="bottomLeft" state="frozen"/>
      <selection pane="bottomLeft" activeCell="C8" sqref="C8"/>
    </sheetView>
  </sheetViews>
  <sheetFormatPr defaultRowHeight="14.25"/>
  <cols>
    <col min="1" max="1" width="42" customWidth="1"/>
    <col min="2" max="2" width="58" customWidth="1"/>
    <col min="3" max="3" width="38" customWidth="1"/>
    <col min="4" max="4" width="88" customWidth="1"/>
    <col min="5" max="5" width="26" customWidth="1"/>
    <col min="6" max="6" width="24" customWidth="1"/>
    <col min="7" max="7" width="34" customWidth="1"/>
  </cols>
  <sheetData>
    <row r="1" spans="1:7" ht="32.1" customHeight="1">
      <c r="A1" s="3" t="s">
        <v>108</v>
      </c>
      <c r="B1" s="3" t="s">
        <v>0</v>
      </c>
      <c r="C1" s="3" t="s">
        <v>1</v>
      </c>
      <c r="D1" s="3" t="s">
        <v>109</v>
      </c>
      <c r="E1" s="1"/>
      <c r="F1" s="1"/>
      <c r="G1" s="1"/>
    </row>
    <row r="2" spans="1:7" ht="29.1" customHeight="1">
      <c r="A2" s="8" t="s">
        <v>110</v>
      </c>
      <c r="B2" s="34">
        <v>1</v>
      </c>
      <c r="C2" s="4" t="s">
        <v>111</v>
      </c>
      <c r="D2" s="15" t="s">
        <v>112</v>
      </c>
      <c r="E2" s="1"/>
      <c r="F2" s="1"/>
      <c r="G2" s="1"/>
    </row>
    <row r="3" spans="1:7" ht="29.1" customHeight="1">
      <c r="A3" s="8" t="s">
        <v>113</v>
      </c>
      <c r="B3" s="54">
        <v>7</v>
      </c>
      <c r="C3" s="4" t="s">
        <v>5</v>
      </c>
      <c r="D3" s="15" t="s">
        <v>112</v>
      </c>
      <c r="E3" s="1"/>
      <c r="F3" s="1"/>
      <c r="G3" s="1"/>
    </row>
    <row r="4" spans="1:7" ht="29.1" customHeight="1">
      <c r="A4" s="8" t="s">
        <v>114</v>
      </c>
      <c r="B4" s="54">
        <v>20</v>
      </c>
      <c r="C4" s="4" t="s">
        <v>115</v>
      </c>
      <c r="D4" s="15" t="s">
        <v>116</v>
      </c>
      <c r="E4" s="1"/>
      <c r="F4" s="1"/>
      <c r="G4" s="1"/>
    </row>
    <row r="5" spans="1:7" ht="29.1" customHeight="1">
      <c r="A5" s="8" t="s">
        <v>117</v>
      </c>
      <c r="B5" s="54">
        <v>4</v>
      </c>
      <c r="C5" s="4" t="s">
        <v>4</v>
      </c>
      <c r="D5" s="15" t="s">
        <v>118</v>
      </c>
      <c r="E5" s="1"/>
      <c r="F5" s="1"/>
      <c r="G5" s="1"/>
    </row>
    <row r="6" spans="1:7" ht="29.1" customHeight="1">
      <c r="A6" s="8" t="s">
        <v>119</v>
      </c>
      <c r="B6" s="54">
        <v>2</v>
      </c>
      <c r="C6" s="4" t="s">
        <v>6</v>
      </c>
      <c r="D6" s="15" t="s">
        <v>120</v>
      </c>
      <c r="E6" s="1"/>
      <c r="F6" s="1"/>
      <c r="G6" s="1"/>
    </row>
    <row r="7" spans="1:7" ht="29.1" customHeight="1">
      <c r="A7" s="8" t="s">
        <v>7</v>
      </c>
      <c r="B7" s="54">
        <v>2</v>
      </c>
      <c r="C7" s="4" t="s">
        <v>8</v>
      </c>
      <c r="D7" s="15" t="s">
        <v>121</v>
      </c>
      <c r="E7" s="1"/>
      <c r="F7" s="1"/>
      <c r="G7" s="1"/>
    </row>
    <row r="8" spans="1:7" ht="29.1" customHeight="1">
      <c r="A8" s="8" t="s">
        <v>122</v>
      </c>
      <c r="B8" s="34">
        <v>14.4</v>
      </c>
      <c r="C8" s="4" t="s">
        <v>123</v>
      </c>
      <c r="D8" s="15" t="s">
        <v>124</v>
      </c>
      <c r="E8" s="1"/>
      <c r="F8" s="1"/>
      <c r="G8" s="1"/>
    </row>
    <row r="9" spans="1:7" ht="29.1" customHeight="1">
      <c r="A9" s="8" t="s">
        <v>125</v>
      </c>
      <c r="B9" s="34">
        <v>1.8</v>
      </c>
      <c r="C9" s="4" t="s">
        <v>123</v>
      </c>
      <c r="D9" s="15" t="s">
        <v>126</v>
      </c>
      <c r="E9" s="1"/>
      <c r="F9" s="1"/>
      <c r="G9" s="1"/>
    </row>
    <row r="10" spans="1:7" ht="29.1" customHeight="1">
      <c r="A10" s="8" t="s">
        <v>127</v>
      </c>
      <c r="B10" s="44">
        <v>750</v>
      </c>
      <c r="C10" s="4" t="s">
        <v>9</v>
      </c>
      <c r="D10" s="15" t="s">
        <v>128</v>
      </c>
      <c r="E10" s="1"/>
      <c r="F10" s="1"/>
      <c r="G10" s="1"/>
    </row>
    <row r="11" spans="1:7" ht="29.1" customHeight="1">
      <c r="A11" s="8" t="s">
        <v>129</v>
      </c>
      <c r="B11" s="44">
        <v>375</v>
      </c>
      <c r="C11" s="4" t="s">
        <v>130</v>
      </c>
      <c r="D11" s="15" t="s">
        <v>131</v>
      </c>
      <c r="E11" s="1"/>
      <c r="F11" s="1"/>
      <c r="G11" s="1"/>
    </row>
    <row r="12" spans="1:7" ht="29.1" customHeight="1">
      <c r="A12" s="8" t="s">
        <v>132</v>
      </c>
      <c r="B12" s="21">
        <v>55</v>
      </c>
      <c r="C12" s="4" t="s">
        <v>133</v>
      </c>
      <c r="D12" s="15" t="s">
        <v>134</v>
      </c>
      <c r="E12" s="1"/>
      <c r="F12" s="1"/>
      <c r="G12" s="1"/>
    </row>
    <row r="13" spans="1:7" ht="29.1" customHeight="1">
      <c r="A13" s="8" t="s">
        <v>135</v>
      </c>
      <c r="B13" s="34">
        <v>1</v>
      </c>
      <c r="C13" s="4" t="s">
        <v>136</v>
      </c>
      <c r="D13" s="15" t="s">
        <v>137</v>
      </c>
      <c r="E13" s="1"/>
      <c r="F13" s="1"/>
      <c r="G13" s="1"/>
    </row>
    <row r="14" spans="1:7" ht="29.1" customHeight="1">
      <c r="A14" s="8" t="s">
        <v>138</v>
      </c>
      <c r="B14" s="34">
        <v>8</v>
      </c>
      <c r="C14" s="4" t="s">
        <v>136</v>
      </c>
      <c r="D14" s="15" t="s">
        <v>139</v>
      </c>
      <c r="E14" s="1"/>
      <c r="F14" s="1"/>
      <c r="G14" s="1"/>
    </row>
    <row r="15" spans="1:7" ht="29.1" customHeight="1">
      <c r="A15" s="8" t="s">
        <v>140</v>
      </c>
      <c r="B15" s="34">
        <v>0.5</v>
      </c>
      <c r="C15" s="4" t="s">
        <v>141</v>
      </c>
      <c r="D15" s="15" t="s">
        <v>142</v>
      </c>
      <c r="E15" s="1"/>
      <c r="F15" s="1"/>
      <c r="G15" s="1"/>
    </row>
    <row r="16" spans="1:7" ht="29.1" customHeight="1">
      <c r="A16" s="8" t="s">
        <v>143</v>
      </c>
      <c r="B16" s="34">
        <v>3</v>
      </c>
      <c r="C16" s="4" t="s">
        <v>144</v>
      </c>
      <c r="D16" s="15" t="s">
        <v>145</v>
      </c>
      <c r="E16" s="1"/>
      <c r="F16" s="1"/>
      <c r="G16" s="1"/>
    </row>
    <row r="17" spans="1:7" ht="29.1" customHeight="1">
      <c r="A17" s="8" t="s">
        <v>146</v>
      </c>
      <c r="B17" s="34">
        <v>17.5</v>
      </c>
      <c r="C17" s="4" t="s">
        <v>144</v>
      </c>
      <c r="D17" s="15" t="s">
        <v>145</v>
      </c>
      <c r="E17" s="1"/>
      <c r="F17" s="1"/>
      <c r="G17" s="1"/>
    </row>
    <row r="18" spans="1:7" ht="29.1" customHeight="1">
      <c r="A18" s="8" t="s">
        <v>147</v>
      </c>
      <c r="B18" s="34">
        <v>0</v>
      </c>
      <c r="C18" s="4" t="s">
        <v>144</v>
      </c>
      <c r="D18" s="15" t="s">
        <v>148</v>
      </c>
      <c r="E18" s="1"/>
      <c r="F18" s="1"/>
      <c r="G18" s="1"/>
    </row>
    <row r="19" spans="1:7" ht="29.1" customHeight="1">
      <c r="A19" s="8" t="s">
        <v>149</v>
      </c>
      <c r="B19" s="34">
        <v>24</v>
      </c>
      <c r="C19" s="4" t="s">
        <v>144</v>
      </c>
      <c r="D19" s="15" t="s">
        <v>148</v>
      </c>
      <c r="E19" s="1"/>
      <c r="F19" s="1"/>
      <c r="G19" s="1"/>
    </row>
    <row r="20" spans="1:7" ht="29.1" customHeight="1">
      <c r="A20" s="8" t="s">
        <v>150</v>
      </c>
      <c r="B20" s="19">
        <v>7.0000000000000007E-2</v>
      </c>
      <c r="C20" s="4" t="s">
        <v>151</v>
      </c>
      <c r="D20" s="15" t="s">
        <v>152</v>
      </c>
      <c r="E20" s="1"/>
      <c r="F20" s="1"/>
      <c r="G20" s="1"/>
    </row>
    <row r="21" spans="1:7" ht="29.1" customHeight="1">
      <c r="A21" s="8" t="s">
        <v>153</v>
      </c>
      <c r="B21" s="19">
        <v>1.1E-4</v>
      </c>
      <c r="C21" s="4" t="s">
        <v>154</v>
      </c>
      <c r="D21" s="15" t="s">
        <v>155</v>
      </c>
      <c r="E21" s="1"/>
      <c r="F21" s="1"/>
      <c r="G21" s="1"/>
    </row>
    <row r="22" spans="1:7" ht="29.1" customHeight="1">
      <c r="A22" s="9" t="s">
        <v>156</v>
      </c>
      <c r="B22" s="46">
        <v>100000</v>
      </c>
      <c r="C22" s="10" t="s">
        <v>157</v>
      </c>
      <c r="D22" s="17" t="s">
        <v>158</v>
      </c>
      <c r="E22" s="1"/>
      <c r="F22" s="1"/>
      <c r="G22" s="1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 ht="21.95" customHeight="1">
      <c r="A25" s="2" t="s">
        <v>159</v>
      </c>
      <c r="B25" s="2"/>
      <c r="C25" s="2"/>
      <c r="D25" s="1"/>
      <c r="E25" s="1"/>
      <c r="F25" s="1"/>
      <c r="G25" s="1"/>
    </row>
    <row r="26" spans="1:7" ht="32.1" customHeight="1">
      <c r="A26" s="3" t="s">
        <v>160</v>
      </c>
      <c r="B26" s="3" t="s">
        <v>161</v>
      </c>
      <c r="C26" s="3" t="s">
        <v>162</v>
      </c>
      <c r="D26" s="1"/>
      <c r="E26" s="1"/>
      <c r="F26" s="1"/>
      <c r="G26" s="1"/>
    </row>
    <row r="27" spans="1:7">
      <c r="A27" s="5" t="s">
        <v>85</v>
      </c>
      <c r="B27" s="33">
        <v>0.6</v>
      </c>
      <c r="C27" s="36">
        <v>6.5</v>
      </c>
      <c r="D27" s="1"/>
      <c r="E27" s="1"/>
      <c r="F27" s="1"/>
      <c r="G27" s="1"/>
    </row>
    <row r="28" spans="1:7">
      <c r="A28" s="8" t="s">
        <v>89</v>
      </c>
      <c r="B28" s="34">
        <v>0.55000000000000004</v>
      </c>
      <c r="C28" s="37">
        <v>6.2</v>
      </c>
      <c r="D28" s="1"/>
      <c r="E28" s="1"/>
      <c r="F28" s="1"/>
      <c r="G28" s="1"/>
    </row>
    <row r="29" spans="1:7">
      <c r="A29" s="8" t="s">
        <v>92</v>
      </c>
      <c r="B29" s="34">
        <v>0.57999999999999996</v>
      </c>
      <c r="C29" s="37">
        <v>6.4</v>
      </c>
      <c r="D29" s="1"/>
      <c r="E29" s="1"/>
      <c r="F29" s="1"/>
      <c r="G29" s="1"/>
    </row>
    <row r="30" spans="1:7">
      <c r="A30" s="9" t="s">
        <v>95</v>
      </c>
      <c r="B30" s="35">
        <v>0.59</v>
      </c>
      <c r="C30" s="38">
        <v>6.3</v>
      </c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  <row r="32" spans="1:7">
      <c r="A32" s="1"/>
      <c r="B32" s="1"/>
      <c r="C32" s="1"/>
      <c r="D32" s="1"/>
      <c r="E32" s="1"/>
      <c r="F32" s="1"/>
      <c r="G32" s="1"/>
    </row>
    <row r="33" spans="1:7" ht="21.95" customHeight="1">
      <c r="A33" s="2" t="s">
        <v>163</v>
      </c>
      <c r="B33" s="2"/>
      <c r="C33" s="2"/>
      <c r="D33" s="2"/>
      <c r="E33" s="2"/>
      <c r="F33" s="2"/>
      <c r="G33" s="2"/>
    </row>
    <row r="34" spans="1:7" ht="32.1" customHeight="1">
      <c r="A34" s="3" t="s">
        <v>164</v>
      </c>
      <c r="B34" s="3" t="s">
        <v>165</v>
      </c>
      <c r="C34" s="3" t="s">
        <v>166</v>
      </c>
      <c r="D34" s="3" t="s">
        <v>167</v>
      </c>
      <c r="E34" s="3" t="s">
        <v>168</v>
      </c>
      <c r="F34" s="3" t="s">
        <v>169</v>
      </c>
      <c r="G34" s="3" t="s">
        <v>170</v>
      </c>
    </row>
    <row r="35" spans="1:7">
      <c r="A35" s="5" t="s">
        <v>171</v>
      </c>
      <c r="B35" s="39">
        <v>14.4</v>
      </c>
      <c r="C35" s="39">
        <v>1.8</v>
      </c>
      <c r="D35" s="42">
        <v>750</v>
      </c>
      <c r="E35" s="42">
        <v>375</v>
      </c>
      <c r="F35" s="42">
        <v>375</v>
      </c>
      <c r="G35" s="43">
        <v>55</v>
      </c>
    </row>
    <row r="36" spans="1:7">
      <c r="A36" s="8" t="s">
        <v>172</v>
      </c>
      <c r="B36" s="40">
        <v>14.4</v>
      </c>
      <c r="C36" s="40">
        <v>1.8</v>
      </c>
      <c r="D36" s="44">
        <v>750</v>
      </c>
      <c r="E36" s="44">
        <v>375</v>
      </c>
      <c r="F36" s="44">
        <v>375</v>
      </c>
      <c r="G36" s="45">
        <v>55</v>
      </c>
    </row>
    <row r="37" spans="1:7">
      <c r="A37" s="8" t="s">
        <v>173</v>
      </c>
      <c r="B37" s="40">
        <v>14.4</v>
      </c>
      <c r="C37" s="40">
        <v>1.8</v>
      </c>
      <c r="D37" s="44">
        <v>750</v>
      </c>
      <c r="E37" s="44">
        <v>375</v>
      </c>
      <c r="F37" s="44">
        <v>375</v>
      </c>
      <c r="G37" s="45">
        <v>55</v>
      </c>
    </row>
    <row r="38" spans="1:7">
      <c r="A38" s="8" t="s">
        <v>174</v>
      </c>
      <c r="B38" s="40">
        <v>14.4</v>
      </c>
      <c r="C38" s="40">
        <v>1.8</v>
      </c>
      <c r="D38" s="44">
        <v>750</v>
      </c>
      <c r="E38" s="44">
        <v>375</v>
      </c>
      <c r="F38" s="44">
        <v>375</v>
      </c>
      <c r="G38" s="45">
        <v>55</v>
      </c>
    </row>
    <row r="39" spans="1:7">
      <c r="A39" s="8" t="s">
        <v>175</v>
      </c>
      <c r="B39" s="40">
        <v>14.4</v>
      </c>
      <c r="C39" s="40">
        <v>1.8</v>
      </c>
      <c r="D39" s="44">
        <v>750</v>
      </c>
      <c r="E39" s="44">
        <v>375</v>
      </c>
      <c r="F39" s="44">
        <v>375</v>
      </c>
      <c r="G39" s="45">
        <v>55</v>
      </c>
    </row>
    <row r="40" spans="1:7">
      <c r="A40" s="8" t="s">
        <v>176</v>
      </c>
      <c r="B40" s="40">
        <v>14.4</v>
      </c>
      <c r="C40" s="40">
        <v>1.8</v>
      </c>
      <c r="D40" s="44">
        <v>750</v>
      </c>
      <c r="E40" s="44">
        <v>375</v>
      </c>
      <c r="F40" s="44">
        <v>375</v>
      </c>
      <c r="G40" s="45">
        <v>55</v>
      </c>
    </row>
    <row r="41" spans="1:7">
      <c r="A41" s="9" t="s">
        <v>177</v>
      </c>
      <c r="B41" s="41">
        <v>14.4</v>
      </c>
      <c r="C41" s="41">
        <v>1.8</v>
      </c>
      <c r="D41" s="46">
        <v>750</v>
      </c>
      <c r="E41" s="46">
        <v>375</v>
      </c>
      <c r="F41" s="46">
        <v>375</v>
      </c>
      <c r="G41" s="47">
        <v>55</v>
      </c>
    </row>
    <row r="42" spans="1:7">
      <c r="A42" s="1"/>
      <c r="B42" s="1"/>
      <c r="C42" s="1"/>
      <c r="D42" s="1"/>
      <c r="E42" s="1"/>
      <c r="F42" s="1"/>
      <c r="G42" s="1"/>
    </row>
    <row r="43" spans="1:7">
      <c r="A43" s="1"/>
      <c r="B43" s="1"/>
      <c r="C43" s="1"/>
      <c r="D43" s="1"/>
      <c r="E43" s="1"/>
      <c r="F43" s="1"/>
      <c r="G43" s="1"/>
    </row>
    <row r="44" spans="1:7" ht="21.95" customHeight="1">
      <c r="A44" s="2" t="s">
        <v>178</v>
      </c>
      <c r="B44" s="2"/>
      <c r="C44" s="2"/>
      <c r="D44" s="2"/>
      <c r="E44" s="1"/>
      <c r="F44" s="1"/>
      <c r="G44" s="1"/>
    </row>
    <row r="45" spans="1:7" ht="32.1" customHeight="1">
      <c r="A45" s="3" t="s">
        <v>179</v>
      </c>
      <c r="B45" s="3" t="s">
        <v>180</v>
      </c>
      <c r="C45" s="3" t="s">
        <v>181</v>
      </c>
      <c r="D45" s="3" t="s">
        <v>182</v>
      </c>
      <c r="E45" s="1"/>
      <c r="F45" s="1"/>
      <c r="G45" s="1"/>
    </row>
    <row r="46" spans="1:7">
      <c r="A46" s="5" t="s">
        <v>183</v>
      </c>
      <c r="B46" s="6">
        <v>375</v>
      </c>
      <c r="C46" s="6">
        <v>1</v>
      </c>
      <c r="D46" s="7">
        <v>1</v>
      </c>
      <c r="E46" s="1"/>
      <c r="F46" s="1"/>
      <c r="G46" s="1"/>
    </row>
    <row r="47" spans="1:7">
      <c r="A47" s="9" t="s">
        <v>184</v>
      </c>
      <c r="B47" s="10">
        <v>375</v>
      </c>
      <c r="C47" s="10">
        <v>1</v>
      </c>
      <c r="D47" s="11">
        <v>1</v>
      </c>
      <c r="E47" s="1"/>
      <c r="F47" s="1"/>
      <c r="G47" s="1"/>
    </row>
    <row r="48" spans="1:7">
      <c r="A48" s="1"/>
      <c r="B48" s="1"/>
      <c r="C48" s="1"/>
      <c r="D48" s="1"/>
      <c r="E48" s="1"/>
      <c r="F48" s="1"/>
      <c r="G48" s="1"/>
    </row>
    <row r="49" spans="1:7">
      <c r="A49" s="1"/>
      <c r="B49" s="1"/>
      <c r="C49" s="1"/>
      <c r="D49" s="1"/>
      <c r="E49" s="1"/>
      <c r="F49" s="1"/>
      <c r="G49" s="1"/>
    </row>
    <row r="50" spans="1:7">
      <c r="A50" s="1"/>
      <c r="B50" s="1"/>
      <c r="C50" s="1"/>
      <c r="D50" s="1"/>
      <c r="E50" s="1"/>
      <c r="F50" s="1"/>
      <c r="G50" s="1"/>
    </row>
    <row r="51" spans="1:7">
      <c r="A51" s="1"/>
      <c r="B51" s="1"/>
      <c r="C51" s="1"/>
      <c r="D51" s="1"/>
      <c r="E51" s="1"/>
      <c r="F51" s="1"/>
      <c r="G51" s="1"/>
    </row>
    <row r="52" spans="1:7">
      <c r="A52" s="1"/>
      <c r="B52" s="1"/>
      <c r="C52" s="1"/>
      <c r="D52" s="1"/>
      <c r="E52" s="1"/>
      <c r="F52" s="1"/>
      <c r="G52" s="1"/>
    </row>
    <row r="53" spans="1:7">
      <c r="A53" s="1"/>
      <c r="B53" s="1"/>
      <c r="C53" s="1"/>
      <c r="D53" s="1"/>
      <c r="E53" s="1"/>
      <c r="F53" s="1"/>
      <c r="G53" s="1"/>
    </row>
    <row r="54" spans="1:7">
      <c r="A54" s="1"/>
      <c r="B54" s="1"/>
      <c r="C54" s="1"/>
      <c r="D54" s="1"/>
      <c r="E54" s="1"/>
      <c r="F54" s="1"/>
      <c r="G54" s="1"/>
    </row>
    <row r="55" spans="1:7">
      <c r="A55" s="1"/>
      <c r="B55" s="1"/>
      <c r="C55" s="1"/>
      <c r="D55" s="1"/>
      <c r="E55" s="1"/>
      <c r="F55" s="1"/>
      <c r="G55" s="1"/>
    </row>
    <row r="56" spans="1:7">
      <c r="A56" s="1"/>
      <c r="B56" s="1"/>
      <c r="C56" s="1"/>
      <c r="D56" s="1"/>
      <c r="E56" s="1"/>
      <c r="F56" s="1"/>
      <c r="G56" s="1"/>
    </row>
    <row r="57" spans="1:7">
      <c r="A57" s="1"/>
      <c r="B57" s="1"/>
      <c r="C57" s="1"/>
      <c r="D57" s="1"/>
      <c r="E57" s="1"/>
      <c r="F57" s="1"/>
      <c r="G57" s="1"/>
    </row>
    <row r="58" spans="1:7">
      <c r="A58" s="1"/>
      <c r="B58" s="1"/>
      <c r="C58" s="1"/>
      <c r="D58" s="1"/>
      <c r="E58" s="1"/>
      <c r="F58" s="1"/>
      <c r="G58" s="1"/>
    </row>
    <row r="59" spans="1:7">
      <c r="A59" s="1"/>
      <c r="B59" s="1"/>
      <c r="C59" s="1"/>
      <c r="D59" s="1"/>
      <c r="E59" s="1"/>
      <c r="F59" s="1"/>
      <c r="G59" s="1"/>
    </row>
    <row r="60" spans="1:7">
      <c r="A60" s="1"/>
      <c r="B60" s="1"/>
      <c r="C60" s="1"/>
      <c r="D60" s="1"/>
      <c r="E60" s="1"/>
      <c r="F60" s="1"/>
      <c r="G60" s="1"/>
    </row>
    <row r="61" spans="1:7">
      <c r="A61" s="1"/>
      <c r="B61" s="1"/>
      <c r="C61" s="1"/>
      <c r="D61" s="1"/>
      <c r="E61" s="1"/>
      <c r="F61" s="1"/>
      <c r="G61" s="1"/>
    </row>
    <row r="62" spans="1:7">
      <c r="A62" s="1"/>
      <c r="B62" s="1"/>
      <c r="C62" s="1"/>
      <c r="D62" s="1"/>
      <c r="E62" s="1"/>
      <c r="F62" s="1"/>
      <c r="G62" s="1"/>
    </row>
    <row r="63" spans="1:7">
      <c r="A63" s="1"/>
      <c r="B63" s="1"/>
      <c r="C63" s="1"/>
      <c r="D63" s="1"/>
      <c r="E63" s="1"/>
      <c r="F63" s="1"/>
      <c r="G63" s="1"/>
    </row>
    <row r="64" spans="1:7">
      <c r="A64" s="1"/>
      <c r="B64" s="1"/>
      <c r="C64" s="1"/>
      <c r="D64" s="1"/>
      <c r="E64" s="1"/>
      <c r="F64" s="1"/>
      <c r="G64" s="1"/>
    </row>
    <row r="65" spans="1:7">
      <c r="A65" s="1"/>
      <c r="B65" s="1"/>
      <c r="C65" s="1"/>
      <c r="D65" s="1"/>
      <c r="E65" s="1"/>
      <c r="F65" s="1"/>
      <c r="G65" s="1"/>
    </row>
    <row r="66" spans="1:7">
      <c r="A66" s="1"/>
      <c r="B66" s="1"/>
      <c r="C66" s="1"/>
      <c r="D66" s="1"/>
      <c r="E66" s="1"/>
      <c r="F66" s="1"/>
      <c r="G66" s="1"/>
    </row>
    <row r="67" spans="1:7">
      <c r="A67" s="1"/>
      <c r="B67" s="1"/>
      <c r="C67" s="1"/>
      <c r="D67" s="1"/>
      <c r="E67" s="1"/>
      <c r="F67" s="1"/>
      <c r="G67" s="1"/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6"/>
  <sheetViews>
    <sheetView showGridLines="0" workbookViewId="0">
      <pane ySplit="1" topLeftCell="A2" activePane="bottomLeft" state="frozen"/>
      <selection pane="bottomLeft" activeCell="K15" sqref="K15"/>
    </sheetView>
  </sheetViews>
  <sheetFormatPr defaultRowHeight="14.25"/>
  <cols>
    <col min="1" max="1" width="15" customWidth="1"/>
    <col min="2" max="3" width="17" customWidth="1"/>
    <col min="4" max="4" width="27" customWidth="1"/>
    <col min="5" max="5" width="22" customWidth="1"/>
    <col min="6" max="6" width="39" customWidth="1"/>
  </cols>
  <sheetData>
    <row r="1" spans="1:6" ht="32.1" customHeight="1">
      <c r="A1" s="3" t="s">
        <v>160</v>
      </c>
      <c r="B1" s="3" t="s">
        <v>185</v>
      </c>
      <c r="C1" s="3" t="s">
        <v>186</v>
      </c>
      <c r="D1" s="3" t="s">
        <v>187</v>
      </c>
      <c r="E1" s="3" t="s">
        <v>162</v>
      </c>
      <c r="F1" s="3" t="s">
        <v>188</v>
      </c>
    </row>
    <row r="2" spans="1:6">
      <c r="A2" s="5" t="s">
        <v>85</v>
      </c>
      <c r="B2" s="6" t="s">
        <v>189</v>
      </c>
      <c r="C2" s="48">
        <v>0</v>
      </c>
      <c r="D2" s="25">
        <f>C2*'Model Inputs'!$B$8</f>
        <v>0</v>
      </c>
      <c r="E2" s="25">
        <f>'Model Inputs'!$C$27</f>
        <v>6.5</v>
      </c>
      <c r="F2" s="25">
        <f t="shared" ref="F2:F17" si="0">E2*(0.45*C2+0.55*C2*C2)</f>
        <v>0</v>
      </c>
    </row>
    <row r="3" spans="1:6">
      <c r="A3" s="8" t="s">
        <v>85</v>
      </c>
      <c r="B3" s="4" t="s">
        <v>190</v>
      </c>
      <c r="C3" s="49">
        <v>0.4</v>
      </c>
      <c r="D3" s="12">
        <f>C3*'Model Inputs'!$B$8</f>
        <v>5.7600000000000007</v>
      </c>
      <c r="E3" s="12">
        <f>'Model Inputs'!$C$27</f>
        <v>6.5</v>
      </c>
      <c r="F3" s="12">
        <f t="shared" si="0"/>
        <v>1.742</v>
      </c>
    </row>
    <row r="4" spans="1:6">
      <c r="A4" s="8" t="s">
        <v>85</v>
      </c>
      <c r="B4" s="4" t="s">
        <v>191</v>
      </c>
      <c r="C4" s="49">
        <v>0.8</v>
      </c>
      <c r="D4" s="12">
        <f>C4*'Model Inputs'!$B$8</f>
        <v>11.520000000000001</v>
      </c>
      <c r="E4" s="12">
        <f>'Model Inputs'!$C$27</f>
        <v>6.5</v>
      </c>
      <c r="F4" s="12">
        <f t="shared" si="0"/>
        <v>4.628000000000001</v>
      </c>
    </row>
    <row r="5" spans="1:6">
      <c r="A5" s="8" t="s">
        <v>85</v>
      </c>
      <c r="B5" s="4" t="s">
        <v>192</v>
      </c>
      <c r="C5" s="49">
        <v>1</v>
      </c>
      <c r="D5" s="12">
        <f>C5*'Model Inputs'!$B$8</f>
        <v>14.4</v>
      </c>
      <c r="E5" s="12">
        <f>'Model Inputs'!$C$27</f>
        <v>6.5</v>
      </c>
      <c r="F5" s="12">
        <f t="shared" si="0"/>
        <v>6.5</v>
      </c>
    </row>
    <row r="6" spans="1:6">
      <c r="A6" s="8" t="s">
        <v>89</v>
      </c>
      <c r="B6" s="4" t="s">
        <v>189</v>
      </c>
      <c r="C6" s="49">
        <v>0</v>
      </c>
      <c r="D6" s="12">
        <f>C6*'Model Inputs'!$B$8</f>
        <v>0</v>
      </c>
      <c r="E6" s="12">
        <f>'Model Inputs'!$C$28</f>
        <v>6.2</v>
      </c>
      <c r="F6" s="12">
        <f t="shared" si="0"/>
        <v>0</v>
      </c>
    </row>
    <row r="7" spans="1:6">
      <c r="A7" s="8" t="s">
        <v>89</v>
      </c>
      <c r="B7" s="4" t="s">
        <v>190</v>
      </c>
      <c r="C7" s="49">
        <v>0.4</v>
      </c>
      <c r="D7" s="12">
        <f>C7*'Model Inputs'!$B$8</f>
        <v>5.7600000000000007</v>
      </c>
      <c r="E7" s="12">
        <f>'Model Inputs'!$C$28</f>
        <v>6.2</v>
      </c>
      <c r="F7" s="12">
        <f t="shared" si="0"/>
        <v>1.6616000000000002</v>
      </c>
    </row>
    <row r="8" spans="1:6">
      <c r="A8" s="8" t="s">
        <v>89</v>
      </c>
      <c r="B8" s="4" t="s">
        <v>191</v>
      </c>
      <c r="C8" s="49">
        <v>0.8</v>
      </c>
      <c r="D8" s="12">
        <f>C8*'Model Inputs'!$B$8</f>
        <v>11.520000000000001</v>
      </c>
      <c r="E8" s="12">
        <f>'Model Inputs'!$C$28</f>
        <v>6.2</v>
      </c>
      <c r="F8" s="12">
        <f t="shared" si="0"/>
        <v>4.4144000000000014</v>
      </c>
    </row>
    <row r="9" spans="1:6">
      <c r="A9" s="8" t="s">
        <v>89</v>
      </c>
      <c r="B9" s="4" t="s">
        <v>192</v>
      </c>
      <c r="C9" s="49">
        <v>1</v>
      </c>
      <c r="D9" s="12">
        <f>C9*'Model Inputs'!$B$8</f>
        <v>14.4</v>
      </c>
      <c r="E9" s="12">
        <f>'Model Inputs'!$C$28</f>
        <v>6.2</v>
      </c>
      <c r="F9" s="12">
        <f t="shared" si="0"/>
        <v>6.2</v>
      </c>
    </row>
    <row r="10" spans="1:6">
      <c r="A10" s="8" t="s">
        <v>92</v>
      </c>
      <c r="B10" s="4" t="s">
        <v>189</v>
      </c>
      <c r="C10" s="49">
        <v>0</v>
      </c>
      <c r="D10" s="12">
        <f>C10*'Model Inputs'!$B$8</f>
        <v>0</v>
      </c>
      <c r="E10" s="12">
        <f>'Model Inputs'!$C$29</f>
        <v>6.4</v>
      </c>
      <c r="F10" s="12">
        <f t="shared" si="0"/>
        <v>0</v>
      </c>
    </row>
    <row r="11" spans="1:6">
      <c r="A11" s="8" t="s">
        <v>92</v>
      </c>
      <c r="B11" s="4" t="s">
        <v>190</v>
      </c>
      <c r="C11" s="49">
        <v>0.4</v>
      </c>
      <c r="D11" s="12">
        <f>C11*'Model Inputs'!$B$8</f>
        <v>5.7600000000000007</v>
      </c>
      <c r="E11" s="12">
        <f>'Model Inputs'!$C$29</f>
        <v>6.4</v>
      </c>
      <c r="F11" s="12">
        <f t="shared" si="0"/>
        <v>1.7152000000000003</v>
      </c>
    </row>
    <row r="12" spans="1:6">
      <c r="A12" s="8" t="s">
        <v>92</v>
      </c>
      <c r="B12" s="4" t="s">
        <v>191</v>
      </c>
      <c r="C12" s="49">
        <v>0.8</v>
      </c>
      <c r="D12" s="12">
        <f>C12*'Model Inputs'!$B$8</f>
        <v>11.520000000000001</v>
      </c>
      <c r="E12" s="12">
        <f>'Model Inputs'!$C$29</f>
        <v>6.4</v>
      </c>
      <c r="F12" s="12">
        <f t="shared" si="0"/>
        <v>4.5568000000000017</v>
      </c>
    </row>
    <row r="13" spans="1:6">
      <c r="A13" s="8" t="s">
        <v>92</v>
      </c>
      <c r="B13" s="4" t="s">
        <v>192</v>
      </c>
      <c r="C13" s="49">
        <v>1</v>
      </c>
      <c r="D13" s="12">
        <f>C13*'Model Inputs'!$B$8</f>
        <v>14.4</v>
      </c>
      <c r="E13" s="12">
        <f>'Model Inputs'!$C$29</f>
        <v>6.4</v>
      </c>
      <c r="F13" s="12">
        <f t="shared" si="0"/>
        <v>6.4</v>
      </c>
    </row>
    <row r="14" spans="1:6">
      <c r="A14" s="8" t="s">
        <v>95</v>
      </c>
      <c r="B14" s="4" t="s">
        <v>189</v>
      </c>
      <c r="C14" s="49">
        <v>0</v>
      </c>
      <c r="D14" s="12">
        <f>C14*'Model Inputs'!$B$8</f>
        <v>0</v>
      </c>
      <c r="E14" s="12">
        <f>'Model Inputs'!$C$30</f>
        <v>6.3</v>
      </c>
      <c r="F14" s="12">
        <f t="shared" si="0"/>
        <v>0</v>
      </c>
    </row>
    <row r="15" spans="1:6">
      <c r="A15" s="8" t="s">
        <v>95</v>
      </c>
      <c r="B15" s="4" t="s">
        <v>190</v>
      </c>
      <c r="C15" s="49">
        <v>0.4</v>
      </c>
      <c r="D15" s="12">
        <f>C15*'Model Inputs'!$B$8</f>
        <v>5.7600000000000007</v>
      </c>
      <c r="E15" s="12">
        <f>'Model Inputs'!$C$30</f>
        <v>6.3</v>
      </c>
      <c r="F15" s="12">
        <f t="shared" si="0"/>
        <v>1.6884000000000001</v>
      </c>
    </row>
    <row r="16" spans="1:6">
      <c r="A16" s="8" t="s">
        <v>95</v>
      </c>
      <c r="B16" s="4" t="s">
        <v>191</v>
      </c>
      <c r="C16" s="49">
        <v>0.8</v>
      </c>
      <c r="D16" s="12">
        <f>C16*'Model Inputs'!$B$8</f>
        <v>11.520000000000001</v>
      </c>
      <c r="E16" s="12">
        <f>'Model Inputs'!$C$30</f>
        <v>6.3</v>
      </c>
      <c r="F16" s="12">
        <f t="shared" si="0"/>
        <v>4.4856000000000007</v>
      </c>
    </row>
    <row r="17" spans="1:6">
      <c r="A17" s="9" t="s">
        <v>95</v>
      </c>
      <c r="B17" s="10" t="s">
        <v>192</v>
      </c>
      <c r="C17" s="50">
        <v>1</v>
      </c>
      <c r="D17" s="26">
        <f>C17*'Model Inputs'!$B$8</f>
        <v>14.4</v>
      </c>
      <c r="E17" s="26">
        <f>'Model Inputs'!$C$30</f>
        <v>6.3</v>
      </c>
      <c r="F17" s="26">
        <f t="shared" si="0"/>
        <v>6.3</v>
      </c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1"/>
      <c r="C45" s="1"/>
      <c r="D45" s="1"/>
      <c r="E45" s="1"/>
      <c r="F45" s="1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6"/>
  <sheetViews>
    <sheetView showGridLines="0" tabSelected="1" workbookViewId="0">
      <pane xSplit="1" ySplit="1" topLeftCell="D2" activePane="bottomRight" state="frozen"/>
      <selection pane="topRight"/>
      <selection pane="bottomLeft"/>
      <selection pane="bottomRight" activeCell="G18" sqref="G18"/>
    </sheetView>
  </sheetViews>
  <sheetFormatPr defaultRowHeight="14.25"/>
  <cols>
    <col min="1" max="1" width="34" customWidth="1"/>
    <col min="2" max="2" width="14" customWidth="1"/>
    <col min="3" max="3" width="30" customWidth="1"/>
    <col min="4" max="4" width="32" customWidth="1"/>
    <col min="5" max="5" width="24" customWidth="1"/>
    <col min="6" max="6" width="22" customWidth="1"/>
    <col min="7" max="7" width="24" customWidth="1"/>
    <col min="8" max="8" width="18" customWidth="1"/>
    <col min="9" max="9" width="25" customWidth="1"/>
  </cols>
  <sheetData>
    <row r="1" spans="1:9" ht="32.1" customHeight="1">
      <c r="A1" s="3" t="s">
        <v>108</v>
      </c>
      <c r="B1" s="3" t="s">
        <v>193</v>
      </c>
      <c r="C1" s="3" t="s">
        <v>194</v>
      </c>
      <c r="D1" s="3" t="s">
        <v>195</v>
      </c>
      <c r="E1" s="3" t="s">
        <v>196</v>
      </c>
      <c r="F1" s="3" t="s">
        <v>197</v>
      </c>
      <c r="G1" s="3" t="s">
        <v>198</v>
      </c>
      <c r="H1" s="3" t="s">
        <v>199</v>
      </c>
      <c r="I1" s="3" t="s">
        <v>200</v>
      </c>
    </row>
    <row r="2" spans="1:9">
      <c r="A2" s="5" t="s">
        <v>201</v>
      </c>
      <c r="B2" s="33">
        <v>12</v>
      </c>
      <c r="C2" s="6" t="s">
        <v>123</v>
      </c>
      <c r="D2" s="51">
        <v>506.49400000000003</v>
      </c>
      <c r="E2" s="51">
        <v>48.7</v>
      </c>
      <c r="F2" s="51">
        <v>10.135</v>
      </c>
      <c r="G2" s="51">
        <v>3.5</v>
      </c>
      <c r="H2" s="6">
        <v>10</v>
      </c>
      <c r="I2" s="6">
        <v>180</v>
      </c>
    </row>
    <row r="3" spans="1:9">
      <c r="A3" s="8" t="s">
        <v>201</v>
      </c>
      <c r="B3" s="34">
        <v>14.4</v>
      </c>
      <c r="C3" s="4" t="s">
        <v>123</v>
      </c>
      <c r="D3" s="52">
        <v>479.91899999999998</v>
      </c>
      <c r="E3" s="52">
        <v>15.162000000000001</v>
      </c>
      <c r="F3" s="52">
        <v>7.9930000000000003</v>
      </c>
      <c r="G3" s="52">
        <v>3.3</v>
      </c>
      <c r="H3" s="4">
        <v>10</v>
      </c>
      <c r="I3" s="4">
        <v>180</v>
      </c>
    </row>
    <row r="4" spans="1:9">
      <c r="A4" s="8" t="s">
        <v>201</v>
      </c>
      <c r="B4" s="34">
        <v>16.8</v>
      </c>
      <c r="C4" s="4" t="s">
        <v>123</v>
      </c>
      <c r="D4" s="52">
        <v>448.18700000000001</v>
      </c>
      <c r="E4" s="52">
        <v>12.936999999999999</v>
      </c>
      <c r="F4" s="52">
        <v>6.2539999999999996</v>
      </c>
      <c r="G4" s="52">
        <v>3</v>
      </c>
      <c r="H4" s="4">
        <v>10</v>
      </c>
      <c r="I4" s="4">
        <v>180</v>
      </c>
    </row>
    <row r="5" spans="1:9">
      <c r="A5" s="8" t="s">
        <v>135</v>
      </c>
      <c r="B5" s="34">
        <v>0.7</v>
      </c>
      <c r="C5" s="4" t="s">
        <v>136</v>
      </c>
      <c r="D5" s="52">
        <v>474.75299999999999</v>
      </c>
      <c r="E5" s="52">
        <v>24.077999999999999</v>
      </c>
      <c r="F5" s="52">
        <v>6.819</v>
      </c>
      <c r="G5" s="52">
        <v>3.3</v>
      </c>
      <c r="H5" s="4">
        <v>10</v>
      </c>
      <c r="I5" s="4">
        <v>180</v>
      </c>
    </row>
    <row r="6" spans="1:9">
      <c r="A6" s="8" t="s">
        <v>135</v>
      </c>
      <c r="B6" s="34">
        <v>1</v>
      </c>
      <c r="C6" s="4" t="s">
        <v>136</v>
      </c>
      <c r="D6" s="52">
        <v>479.91899999999998</v>
      </c>
      <c r="E6" s="52">
        <v>15.162000000000001</v>
      </c>
      <c r="F6" s="52">
        <v>10.348000000000001</v>
      </c>
      <c r="G6" s="52">
        <v>3.3</v>
      </c>
      <c r="H6" s="4">
        <v>10</v>
      </c>
      <c r="I6" s="4">
        <v>180</v>
      </c>
    </row>
    <row r="7" spans="1:9">
      <c r="A7" s="8" t="s">
        <v>135</v>
      </c>
      <c r="B7" s="34">
        <v>1.3</v>
      </c>
      <c r="C7" s="4" t="s">
        <v>136</v>
      </c>
      <c r="D7" s="52">
        <v>480.834</v>
      </c>
      <c r="E7" s="52">
        <v>14.347</v>
      </c>
      <c r="F7" s="52">
        <v>8.6359999999999992</v>
      </c>
      <c r="G7" s="52">
        <v>3.3</v>
      </c>
      <c r="H7" s="4">
        <v>10</v>
      </c>
      <c r="I7" s="4">
        <v>180</v>
      </c>
    </row>
    <row r="8" spans="1:9">
      <c r="A8" s="8" t="s">
        <v>202</v>
      </c>
      <c r="B8" s="34">
        <v>0.9</v>
      </c>
      <c r="C8" s="4" t="s">
        <v>203</v>
      </c>
      <c r="D8" s="52">
        <v>459.04500000000002</v>
      </c>
      <c r="E8" s="52">
        <v>23.050999999999998</v>
      </c>
      <c r="F8" s="52">
        <v>7.1749999999999998</v>
      </c>
      <c r="G8" s="52">
        <v>3.2</v>
      </c>
      <c r="H8" s="4">
        <v>10</v>
      </c>
      <c r="I8" s="4">
        <v>180</v>
      </c>
    </row>
    <row r="9" spans="1:9">
      <c r="A9" s="8" t="s">
        <v>202</v>
      </c>
      <c r="B9" s="34">
        <v>1</v>
      </c>
      <c r="C9" s="4" t="s">
        <v>203</v>
      </c>
      <c r="D9" s="52">
        <v>479.91899999999998</v>
      </c>
      <c r="E9" s="52">
        <v>15.162000000000001</v>
      </c>
      <c r="F9" s="52">
        <v>7.8440000000000003</v>
      </c>
      <c r="G9" s="52">
        <v>3.3</v>
      </c>
      <c r="H9" s="4">
        <v>10</v>
      </c>
      <c r="I9" s="4">
        <v>180</v>
      </c>
    </row>
    <row r="10" spans="1:9">
      <c r="A10" s="8" t="s">
        <v>202</v>
      </c>
      <c r="B10" s="34">
        <v>1.1000000000000001</v>
      </c>
      <c r="C10" s="4" t="s">
        <v>203</v>
      </c>
      <c r="D10" s="52">
        <v>469.05799999999999</v>
      </c>
      <c r="E10" s="52">
        <v>23.53</v>
      </c>
      <c r="F10" s="52">
        <v>9.2170000000000005</v>
      </c>
      <c r="G10" s="52">
        <v>3.1</v>
      </c>
      <c r="H10" s="4">
        <v>10</v>
      </c>
      <c r="I10" s="4">
        <v>180</v>
      </c>
    </row>
    <row r="11" spans="1:9">
      <c r="A11" s="8" t="s">
        <v>204</v>
      </c>
      <c r="B11" s="34">
        <v>6</v>
      </c>
      <c r="C11" s="4" t="s">
        <v>5</v>
      </c>
      <c r="D11" s="52">
        <v>486.59500000000003</v>
      </c>
      <c r="E11" s="52">
        <v>39.497999999999998</v>
      </c>
      <c r="F11" s="52">
        <v>8.1929999999999996</v>
      </c>
      <c r="G11" s="52">
        <v>3.4</v>
      </c>
      <c r="H11" s="4">
        <v>10</v>
      </c>
      <c r="I11" s="4">
        <v>180</v>
      </c>
    </row>
    <row r="12" spans="1:9">
      <c r="A12" s="8" t="s">
        <v>204</v>
      </c>
      <c r="B12" s="34">
        <v>7</v>
      </c>
      <c r="C12" s="4" t="s">
        <v>5</v>
      </c>
      <c r="D12" s="52">
        <v>479.91899999999998</v>
      </c>
      <c r="E12" s="52">
        <v>15.162000000000001</v>
      </c>
      <c r="F12" s="52">
        <v>7.492</v>
      </c>
      <c r="G12" s="52">
        <v>3.3</v>
      </c>
      <c r="H12" s="4">
        <v>10</v>
      </c>
      <c r="I12" s="4">
        <v>180</v>
      </c>
    </row>
    <row r="13" spans="1:9">
      <c r="A13" s="9" t="s">
        <v>204</v>
      </c>
      <c r="B13" s="35">
        <v>8</v>
      </c>
      <c r="C13" s="10" t="s">
        <v>5</v>
      </c>
      <c r="D13" s="53">
        <v>481.233</v>
      </c>
      <c r="E13" s="53">
        <v>34.465000000000003</v>
      </c>
      <c r="F13" s="53">
        <v>8.0210000000000008</v>
      </c>
      <c r="G13" s="53">
        <v>3.2</v>
      </c>
      <c r="H13" s="10">
        <v>10</v>
      </c>
      <c r="I13" s="10">
        <v>180</v>
      </c>
    </row>
    <row r="14" spans="1:9">
      <c r="A14" s="1"/>
      <c r="B14" s="1"/>
      <c r="C14" s="1"/>
      <c r="D14" s="1"/>
      <c r="E14" s="1"/>
      <c r="F14" s="1"/>
      <c r="G14" s="1"/>
      <c r="H14" s="1"/>
      <c r="I14" s="1"/>
    </row>
    <row r="15" spans="1:9">
      <c r="A15" s="1"/>
      <c r="B15" s="1"/>
      <c r="C15" s="1"/>
      <c r="D15" s="1"/>
      <c r="E15" s="1"/>
      <c r="F15" s="1"/>
      <c r="G15" s="1"/>
      <c r="H15" s="1"/>
      <c r="I15" s="1"/>
    </row>
    <row r="16" spans="1:9">
      <c r="A16" s="1"/>
      <c r="B16" s="1"/>
      <c r="C16" s="1"/>
      <c r="D16" s="1"/>
      <c r="E16" s="1"/>
      <c r="F16" s="1"/>
      <c r="G16" s="1"/>
      <c r="H16" s="1"/>
      <c r="I16" s="1"/>
    </row>
    <row r="17" spans="1:9">
      <c r="A17" s="1"/>
      <c r="B17" s="1"/>
      <c r="C17" s="1"/>
      <c r="D17" s="1"/>
      <c r="E17" s="1"/>
      <c r="F17" s="1"/>
      <c r="G17" s="1"/>
      <c r="H17" s="1"/>
      <c r="I17" s="1"/>
    </row>
    <row r="18" spans="1:9">
      <c r="A18" s="1"/>
      <c r="B18" s="1"/>
      <c r="C18" s="1"/>
      <c r="D18" s="1"/>
      <c r="E18" s="1"/>
      <c r="F18" s="1"/>
      <c r="G18" s="1"/>
      <c r="H18" s="1"/>
      <c r="I18" s="1"/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  <row r="22" spans="1:9">
      <c r="A22" s="1"/>
      <c r="B22" s="1"/>
      <c r="C22" s="1"/>
      <c r="D22" s="1"/>
      <c r="E22" s="1"/>
      <c r="F22" s="1"/>
      <c r="G22" s="1"/>
      <c r="H22" s="1"/>
      <c r="I22" s="1"/>
    </row>
    <row r="23" spans="1:9">
      <c r="A23" s="1"/>
      <c r="B23" s="1"/>
      <c r="C23" s="1"/>
      <c r="D23" s="1"/>
      <c r="E23" s="1"/>
      <c r="F23" s="1"/>
      <c r="G23" s="1"/>
      <c r="H23" s="1"/>
      <c r="I23" s="1"/>
    </row>
    <row r="24" spans="1:9">
      <c r="A24" s="1"/>
      <c r="B24" s="1"/>
      <c r="C24" s="1"/>
      <c r="D24" s="1"/>
      <c r="E24" s="1"/>
      <c r="F24" s="1"/>
      <c r="G24" s="1"/>
      <c r="H24" s="1"/>
      <c r="I24" s="1"/>
    </row>
    <row r="25" spans="1:9">
      <c r="A25" s="1"/>
      <c r="B25" s="1"/>
      <c r="C25" s="1"/>
      <c r="D25" s="1"/>
      <c r="E25" s="1"/>
      <c r="F25" s="1"/>
      <c r="G25" s="1"/>
      <c r="H25" s="1"/>
      <c r="I25" s="1"/>
    </row>
    <row r="26" spans="1:9">
      <c r="A26" s="1"/>
      <c r="B26" s="1"/>
      <c r="C26" s="1"/>
      <c r="D26" s="1"/>
      <c r="E26" s="1"/>
      <c r="F26" s="1"/>
      <c r="G26" s="1"/>
      <c r="H26" s="1"/>
      <c r="I26" s="1"/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>
      <c r="A28" s="1"/>
      <c r="B28" s="1"/>
      <c r="C28" s="1"/>
      <c r="D28" s="1"/>
      <c r="E28" s="1"/>
      <c r="F28" s="1"/>
      <c r="G28" s="1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/>
      <c r="B34" s="1"/>
      <c r="C34" s="1"/>
      <c r="D34" s="1"/>
      <c r="E34" s="1"/>
      <c r="F34" s="1"/>
      <c r="G34" s="1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>
      <c r="A38" s="1"/>
      <c r="B38" s="1"/>
      <c r="C38" s="1"/>
      <c r="D38" s="1"/>
      <c r="E38" s="1"/>
      <c r="F38" s="1"/>
      <c r="G38" s="1"/>
      <c r="H38" s="1"/>
      <c r="I38" s="1"/>
    </row>
    <row r="39" spans="1:9">
      <c r="A39" s="1"/>
      <c r="B39" s="1"/>
      <c r="C39" s="1"/>
      <c r="D39" s="1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  <row r="44" spans="1:9">
      <c r="A44" s="1"/>
      <c r="B44" s="1"/>
      <c r="C44" s="1"/>
      <c r="D44" s="1"/>
      <c r="E44" s="1"/>
      <c r="F44" s="1"/>
      <c r="G44" s="1"/>
      <c r="H44" s="1"/>
      <c r="I44" s="1"/>
    </row>
    <row r="45" spans="1:9">
      <c r="A45" s="1"/>
      <c r="B45" s="1"/>
      <c r="C45" s="1"/>
      <c r="D45" s="1"/>
      <c r="E45" s="1"/>
      <c r="F45" s="1"/>
      <c r="G45" s="1"/>
      <c r="H45" s="1"/>
      <c r="I45" s="1"/>
    </row>
    <row r="46" spans="1:9">
      <c r="A46" s="1"/>
      <c r="B46" s="1"/>
      <c r="C46" s="1"/>
      <c r="D46" s="1"/>
      <c r="E46" s="1"/>
      <c r="F46" s="1"/>
      <c r="G46" s="1"/>
      <c r="H46" s="1"/>
      <c r="I46" s="1"/>
    </row>
    <row r="47" spans="1:9">
      <c r="A47" s="1"/>
      <c r="B47" s="1"/>
      <c r="C47" s="1"/>
      <c r="D47" s="1"/>
      <c r="E47" s="1"/>
      <c r="F47" s="1"/>
      <c r="G47" s="1"/>
      <c r="H47" s="1"/>
      <c r="I47" s="1"/>
    </row>
    <row r="48" spans="1:9">
      <c r="A48" s="1"/>
      <c r="B48" s="1"/>
      <c r="C48" s="1"/>
      <c r="D48" s="1"/>
      <c r="E48" s="1"/>
      <c r="F48" s="1"/>
      <c r="G48" s="1"/>
      <c r="H48" s="1"/>
      <c r="I48" s="1"/>
    </row>
    <row r="49" spans="1:9">
      <c r="A49" s="1"/>
      <c r="B49" s="1"/>
      <c r="C49" s="1"/>
      <c r="D49" s="1"/>
      <c r="E49" s="1"/>
      <c r="F49" s="1"/>
      <c r="G49" s="1"/>
      <c r="H49" s="1"/>
      <c r="I49" s="1"/>
    </row>
    <row r="50" spans="1:9">
      <c r="A50" s="1"/>
      <c r="B50" s="1"/>
      <c r="C50" s="1"/>
      <c r="D50" s="1"/>
      <c r="E50" s="1"/>
      <c r="F50" s="1"/>
      <c r="G50" s="1"/>
      <c r="H50" s="1"/>
      <c r="I50" s="1"/>
    </row>
    <row r="51" spans="1:9">
      <c r="A51" s="1"/>
      <c r="B51" s="1"/>
      <c r="C51" s="1"/>
      <c r="D51" s="1"/>
      <c r="E51" s="1"/>
      <c r="F51" s="1"/>
      <c r="G51" s="1"/>
      <c r="H51" s="1"/>
      <c r="I51" s="1"/>
    </row>
    <row r="52" spans="1:9">
      <c r="A52" s="1"/>
      <c r="B52" s="1"/>
      <c r="C52" s="1"/>
      <c r="D52" s="1"/>
      <c r="E52" s="1"/>
      <c r="F52" s="1"/>
      <c r="G52" s="1"/>
      <c r="H52" s="1"/>
      <c r="I52" s="1"/>
    </row>
    <row r="53" spans="1:9">
      <c r="A53" s="1"/>
      <c r="B53" s="1"/>
      <c r="C53" s="1"/>
      <c r="D53" s="1"/>
      <c r="E53" s="1"/>
      <c r="F53" s="1"/>
      <c r="G53" s="1"/>
      <c r="H53" s="1"/>
      <c r="I53" s="1"/>
    </row>
    <row r="54" spans="1:9">
      <c r="A54" s="1"/>
      <c r="B54" s="1"/>
      <c r="C54" s="1"/>
      <c r="D54" s="1"/>
      <c r="E54" s="1"/>
      <c r="F54" s="1"/>
      <c r="G54" s="1"/>
      <c r="H54" s="1"/>
      <c r="I54" s="1"/>
    </row>
    <row r="55" spans="1:9">
      <c r="A55" s="1"/>
      <c r="B55" s="1"/>
      <c r="C55" s="1"/>
      <c r="D55" s="1"/>
      <c r="E55" s="1"/>
      <c r="F55" s="1"/>
      <c r="G55" s="1"/>
      <c r="H55" s="1"/>
      <c r="I55" s="1"/>
    </row>
    <row r="56" spans="1:9">
      <c r="A56" s="1"/>
      <c r="B56" s="1"/>
      <c r="C56" s="1"/>
      <c r="D56" s="1"/>
      <c r="E56" s="1"/>
      <c r="F56" s="1"/>
      <c r="G56" s="1"/>
      <c r="H56" s="1"/>
      <c r="I56" s="1"/>
    </row>
    <row r="57" spans="1:9">
      <c r="A57" s="1"/>
      <c r="B57" s="1"/>
      <c r="C57" s="1"/>
      <c r="D57" s="1"/>
      <c r="E57" s="1"/>
      <c r="F57" s="1"/>
      <c r="G57" s="1"/>
      <c r="H57" s="1"/>
      <c r="I57" s="1"/>
    </row>
    <row r="58" spans="1:9">
      <c r="A58" s="1"/>
      <c r="B58" s="1"/>
      <c r="C58" s="1"/>
      <c r="D58" s="1"/>
      <c r="E58" s="1"/>
      <c r="F58" s="1"/>
      <c r="G58" s="1"/>
      <c r="H58" s="1"/>
      <c r="I58" s="1"/>
    </row>
    <row r="59" spans="1:9">
      <c r="A59" s="1"/>
      <c r="B59" s="1"/>
      <c r="C59" s="1"/>
      <c r="D59" s="1"/>
      <c r="E59" s="1"/>
      <c r="F59" s="1"/>
      <c r="G59" s="1"/>
      <c r="H59" s="1"/>
      <c r="I59" s="1"/>
    </row>
    <row r="60" spans="1:9">
      <c r="A60" s="1"/>
      <c r="B60" s="1"/>
      <c r="C60" s="1"/>
      <c r="D60" s="1"/>
      <c r="E60" s="1"/>
      <c r="F60" s="1"/>
      <c r="G60" s="1"/>
      <c r="H60" s="1"/>
      <c r="I60" s="1"/>
    </row>
    <row r="61" spans="1:9">
      <c r="A61" s="1"/>
      <c r="B61" s="1"/>
      <c r="C61" s="1"/>
      <c r="D61" s="1"/>
      <c r="E61" s="1"/>
      <c r="F61" s="1"/>
      <c r="G61" s="1"/>
      <c r="H61" s="1"/>
      <c r="I61" s="1"/>
    </row>
    <row r="62" spans="1:9">
      <c r="A62" s="1"/>
      <c r="B62" s="1"/>
      <c r="C62" s="1"/>
      <c r="D62" s="1"/>
      <c r="E62" s="1"/>
      <c r="F62" s="1"/>
      <c r="G62" s="1"/>
      <c r="H62" s="1"/>
      <c r="I62" s="1"/>
    </row>
    <row r="63" spans="1:9">
      <c r="A63" s="1"/>
      <c r="B63" s="1"/>
      <c r="C63" s="1"/>
      <c r="D63" s="1"/>
      <c r="E63" s="1"/>
      <c r="F63" s="1"/>
      <c r="G63" s="1"/>
      <c r="H63" s="1"/>
      <c r="I63" s="1"/>
    </row>
    <row r="64" spans="1:9">
      <c r="A64" s="1"/>
      <c r="B64" s="1"/>
      <c r="C64" s="1"/>
      <c r="D64" s="1"/>
      <c r="E64" s="1"/>
      <c r="F64" s="1"/>
      <c r="G64" s="1"/>
      <c r="H64" s="1"/>
      <c r="I64" s="1"/>
    </row>
    <row r="65" spans="1:9">
      <c r="A65" s="1"/>
      <c r="B65" s="1"/>
      <c r="C65" s="1"/>
      <c r="D65" s="1"/>
      <c r="E65" s="1"/>
      <c r="F65" s="1"/>
      <c r="G65" s="1"/>
      <c r="H65" s="1"/>
      <c r="I65" s="1"/>
    </row>
    <row r="66" spans="1:9">
      <c r="A66" s="1"/>
      <c r="B66" s="1"/>
      <c r="C66" s="1"/>
      <c r="D66" s="1"/>
      <c r="E66" s="1"/>
      <c r="F66" s="1"/>
      <c r="G66" s="1"/>
      <c r="H66" s="1"/>
      <c r="I66" s="1"/>
    </row>
    <row r="67" spans="1:9">
      <c r="A67" s="1"/>
      <c r="B67" s="1"/>
      <c r="C67" s="1"/>
      <c r="D67" s="1"/>
      <c r="E67" s="1"/>
      <c r="F67" s="1"/>
      <c r="G67" s="1"/>
      <c r="H67" s="1"/>
      <c r="I67" s="1"/>
    </row>
    <row r="68" spans="1:9">
      <c r="A68" s="1"/>
      <c r="B68" s="1"/>
      <c r="C68" s="1"/>
      <c r="D68" s="1"/>
      <c r="E68" s="1"/>
      <c r="F68" s="1"/>
      <c r="G68" s="1"/>
      <c r="H68" s="1"/>
      <c r="I68" s="1"/>
    </row>
    <row r="69" spans="1:9">
      <c r="A69" s="1"/>
      <c r="B69" s="1"/>
      <c r="C69" s="1"/>
      <c r="D69" s="1"/>
      <c r="E69" s="1"/>
      <c r="F69" s="1"/>
      <c r="G69" s="1"/>
      <c r="H69" s="1"/>
      <c r="I69" s="1"/>
    </row>
    <row r="70" spans="1:9">
      <c r="A70" s="1"/>
      <c r="B70" s="1"/>
      <c r="C70" s="1"/>
      <c r="D70" s="1"/>
      <c r="E70" s="1"/>
      <c r="F70" s="1"/>
      <c r="G70" s="1"/>
      <c r="H70" s="1"/>
      <c r="I70" s="1"/>
    </row>
    <row r="71" spans="1:9">
      <c r="A71" s="1"/>
      <c r="B71" s="1"/>
      <c r="C71" s="1"/>
      <c r="D71" s="1"/>
      <c r="E71" s="1"/>
      <c r="F71" s="1"/>
      <c r="G71" s="1"/>
      <c r="H71" s="1"/>
      <c r="I71" s="1"/>
    </row>
    <row r="72" spans="1:9">
      <c r="A72" s="1"/>
      <c r="B72" s="1"/>
      <c r="C72" s="1"/>
      <c r="D72" s="1"/>
      <c r="E72" s="1"/>
      <c r="F72" s="1"/>
      <c r="G72" s="1"/>
      <c r="H72" s="1"/>
      <c r="I72" s="1"/>
    </row>
    <row r="73" spans="1:9">
      <c r="A73" s="1"/>
      <c r="B73" s="1"/>
      <c r="C73" s="1"/>
      <c r="D73" s="1"/>
      <c r="E73" s="1"/>
      <c r="F73" s="1"/>
      <c r="G73" s="1"/>
      <c r="H73" s="1"/>
      <c r="I73" s="1"/>
    </row>
    <row r="74" spans="1:9">
      <c r="A74" s="1"/>
      <c r="B74" s="1"/>
      <c r="C74" s="1"/>
      <c r="D74" s="1"/>
      <c r="E74" s="1"/>
      <c r="F74" s="1"/>
      <c r="G74" s="1"/>
      <c r="H74" s="1"/>
      <c r="I74" s="1"/>
    </row>
    <row r="75" spans="1:9">
      <c r="A75" s="1"/>
      <c r="B75" s="1"/>
      <c r="C75" s="1"/>
      <c r="D75" s="1"/>
      <c r="E75" s="1"/>
      <c r="F75" s="1"/>
      <c r="G75" s="1"/>
      <c r="H75" s="1"/>
      <c r="I75" s="1"/>
    </row>
    <row r="76" spans="1:9">
      <c r="A76" s="1"/>
      <c r="B76" s="1"/>
      <c r="C76" s="1"/>
      <c r="D76" s="1"/>
      <c r="E76" s="1"/>
      <c r="F76" s="1"/>
      <c r="G76" s="1"/>
      <c r="H76" s="1"/>
      <c r="I7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Locations</vt:lpstr>
      <vt:lpstr>Customer Demand</vt:lpstr>
      <vt:lpstr>Road Arcs</vt:lpstr>
      <vt:lpstr>Model Inputs</vt:lpstr>
      <vt:lpstr>Charging Curve</vt:lpstr>
      <vt:lpstr>Sensitivity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Sukhpal Rajpoot</cp:lastModifiedBy>
  <dcterms:modified xsi:type="dcterms:W3CDTF">2026-09-30T14:19:17Z</dcterms:modified>
</cp:coreProperties>
</file>